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milis\Downloads\"/>
    </mc:Choice>
  </mc:AlternateContent>
  <xr:revisionPtr revIDLastSave="0" documentId="8_{A3DB047F-F4B3-4203-8892-2A4F76C78422}" xr6:coauthVersionLast="47" xr6:coauthVersionMax="47" xr10:uidLastSave="{00000000-0000-0000-0000-000000000000}"/>
  <bookViews>
    <workbookView xWindow="-108" yWindow="-108" windowWidth="23256" windowHeight="12456" tabRatio="500" firstSheet="8" activeTab="10" xr2:uid="{00000000-000D-0000-FFFF-FFFF00000000}"/>
  </bookViews>
  <sheets>
    <sheet name="Instructions" sheetId="1" r:id="rId1"/>
    <sheet name="Summary " sheetId="11" r:id="rId2"/>
    <sheet name="tbl_Projects" sheetId="9" r:id="rId3"/>
    <sheet name="Projects" sheetId="2" r:id="rId4"/>
    <sheet name="tbl_Employees" sheetId="10" r:id="rId5"/>
    <sheet name="Employees" sheetId="3" r:id="rId6"/>
    <sheet name="tbl_Tasks_Clean." sheetId="8" r:id="rId7"/>
    <sheet name="Tasks_RawData" sheetId="4" r:id="rId8"/>
    <sheet name="PQ_Output" sheetId="5" r:id="rId9"/>
    <sheet name="PivotTables" sheetId="6" r:id="rId10"/>
    <sheet name="Dashboard" sheetId="7" r:id="rId11"/>
  </sheets>
  <definedNames>
    <definedName name="_xlcn.WorksheetConnection_PM_Analytics_Practice_Projectwork.xlsxTable3_11" hidden="1">tbl_Tasks_Clean[]</definedName>
    <definedName name="_xlcn.WorksheetConnection_PM_Analytics_Practice_Projectwork.xlsxtbl_Employees_11" hidden="1">tbl_Employees_1[]</definedName>
    <definedName name="_xlcn.WorksheetConnection_PM_Analytics_Practice_Projectwork.xlsxtbl_Projects_11" hidden="1">tbl_Projects_1[]</definedName>
    <definedName name="ExternalData_1" localSheetId="4" hidden="1">tbl_Employees!$A$1:$E$28</definedName>
    <definedName name="ExternalData_1" localSheetId="2" hidden="1">tbl_Projects!$A$1:$F$16</definedName>
    <definedName name="ExternalData_1" localSheetId="6" hidden="1">tbl_Tasks_Clean.!$A$1:$T$316</definedName>
    <definedName name="Slicer_Department1">#N/A</definedName>
    <definedName name="Slicer_Priority1">#N/A</definedName>
    <definedName name="Slicer_Status">#N/A</definedName>
  </definedNames>
  <calcPr calcId="191029" iterateDelta="1E-4"/>
  <pivotCaches>
    <pivotCache cacheId="25" r:id="rId12"/>
    <pivotCache cacheId="139" r:id="rId13"/>
  </pivotCaches>
  <extLst>
    <ext xmlns:x14="http://schemas.microsoft.com/office/spreadsheetml/2009/9/main" uri="{876F7934-8845-4945-9796-88D515C7AA90}">
      <x14:pivotCaches>
        <pivotCache cacheId="64"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_1" name="tbl_Task_Clean" connection="WorksheetConnection_PM_Analytics_Practice_Project work.xlsx!Table3_1"/>
          <x15:modelTable id="tbl_Projects_1" name="tbl_Projects_1" connection="WorksheetConnection_PM_Analytics_Practice_Project work.xlsx!tbl_Projects_1"/>
          <x15:modelTable id="tbl_Employees_1" name="tbl_Employees_1" connection="WorksheetConnection_PM_Analytics_Practice_Project work.xlsx!tbl_Employees_1"/>
        </x15:modelTables>
        <x15:modelRelationships>
          <x15:modelRelationship fromTable="tbl_Task_Clean" fromColumn="Project_ID" toTable="tbl_Projects_1" toColumn="Project_ID"/>
          <x15:modelRelationship fromTable="tbl_Task_Clean" fromColumn="Assigned_To" toTable="tbl_Employees_1" toColumn="Employee_Nam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U2" i="8" l="1"/>
  <c r="U3" i="8"/>
  <c r="U4" i="8"/>
  <c r="V4" i="8" s="1"/>
  <c r="U5" i="8"/>
  <c r="V5" i="8" s="1"/>
  <c r="U6" i="8"/>
  <c r="V6" i="8" s="1"/>
  <c r="U7" i="8"/>
  <c r="V7" i="8" s="1"/>
  <c r="U8" i="8"/>
  <c r="V8" i="8" s="1"/>
  <c r="U9" i="8"/>
  <c r="V9" i="8" s="1"/>
  <c r="U10" i="8"/>
  <c r="V10" i="8" s="1"/>
  <c r="U11" i="8"/>
  <c r="V11" i="8" s="1"/>
  <c r="U12" i="8"/>
  <c r="V12" i="8" s="1"/>
  <c r="U13" i="8"/>
  <c r="U14" i="8"/>
  <c r="V14" i="8" s="1"/>
  <c r="U15" i="8"/>
  <c r="V15" i="8" s="1"/>
  <c r="U16" i="8"/>
  <c r="V16" i="8" s="1"/>
  <c r="U17" i="8"/>
  <c r="U18" i="8"/>
  <c r="U19" i="8"/>
  <c r="V19" i="8" s="1"/>
  <c r="U20" i="8"/>
  <c r="V20" i="8" s="1"/>
  <c r="U21" i="8"/>
  <c r="V21" i="8" s="1"/>
  <c r="U22" i="8"/>
  <c r="V22" i="8" s="1"/>
  <c r="U23" i="8"/>
  <c r="U24" i="8"/>
  <c r="V24" i="8" s="1"/>
  <c r="U25" i="8"/>
  <c r="V25" i="8" s="1"/>
  <c r="U26" i="8"/>
  <c r="V26" i="8" s="1"/>
  <c r="U27" i="8"/>
  <c r="V27" i="8" s="1"/>
  <c r="U28" i="8"/>
  <c r="V28" i="8" s="1"/>
  <c r="U29" i="8"/>
  <c r="V29" i="8" s="1"/>
  <c r="U30" i="8"/>
  <c r="V30" i="8" s="1"/>
  <c r="U31" i="8"/>
  <c r="V31" i="8" s="1"/>
  <c r="U32" i="8"/>
  <c r="V32" i="8" s="1"/>
  <c r="U33" i="8"/>
  <c r="V33" i="8" s="1"/>
  <c r="U34" i="8"/>
  <c r="V34" i="8" s="1"/>
  <c r="U35" i="8"/>
  <c r="V35" i="8" s="1"/>
  <c r="U36" i="8"/>
  <c r="V36" i="8" s="1"/>
  <c r="U37" i="8"/>
  <c r="V37" i="8" s="1"/>
  <c r="U38" i="8"/>
  <c r="V38" i="8" s="1"/>
  <c r="U39" i="8"/>
  <c r="V39" i="8" s="1"/>
  <c r="U40" i="8"/>
  <c r="V40" i="8" s="1"/>
  <c r="U41" i="8"/>
  <c r="V41" i="8" s="1"/>
  <c r="U42" i="8"/>
  <c r="U43" i="8"/>
  <c r="U44" i="8"/>
  <c r="V44" i="8" s="1"/>
  <c r="U45" i="8"/>
  <c r="V45" i="8" s="1"/>
  <c r="U46" i="8"/>
  <c r="V46" i="8" s="1"/>
  <c r="U47" i="8"/>
  <c r="V47" i="8" s="1"/>
  <c r="U48" i="8"/>
  <c r="V48" i="8" s="1"/>
  <c r="U49" i="8"/>
  <c r="V49" i="8" s="1"/>
  <c r="U50" i="8"/>
  <c r="V50" i="8" s="1"/>
  <c r="U51" i="8"/>
  <c r="V51" i="8" s="1"/>
  <c r="U52" i="8"/>
  <c r="V52" i="8" s="1"/>
  <c r="U53" i="8"/>
  <c r="U54" i="8"/>
  <c r="V54" i="8" s="1"/>
  <c r="U55" i="8"/>
  <c r="V55" i="8" s="1"/>
  <c r="U56" i="8"/>
  <c r="V56" i="8" s="1"/>
  <c r="U57" i="8"/>
  <c r="V57" i="8" s="1"/>
  <c r="U58" i="8"/>
  <c r="V58" i="8" s="1"/>
  <c r="U59" i="8"/>
  <c r="V59" i="8" s="1"/>
  <c r="U60" i="8"/>
  <c r="V60" i="8" s="1"/>
  <c r="U61" i="8"/>
  <c r="V61" i="8" s="1"/>
  <c r="U62" i="8"/>
  <c r="U63" i="8"/>
  <c r="U64" i="8"/>
  <c r="V64" i="8" s="1"/>
  <c r="U65" i="8"/>
  <c r="V65" i="8" s="1"/>
  <c r="U66" i="8"/>
  <c r="V66" i="8" s="1"/>
  <c r="U67" i="8"/>
  <c r="V67" i="8" s="1"/>
  <c r="U68" i="8"/>
  <c r="V68" i="8" s="1"/>
  <c r="U69" i="8"/>
  <c r="V69" i="8" s="1"/>
  <c r="U70" i="8"/>
  <c r="V70" i="8" s="1"/>
  <c r="U71" i="8"/>
  <c r="V71" i="8" s="1"/>
  <c r="U72" i="8"/>
  <c r="V72" i="8" s="1"/>
  <c r="U73" i="8"/>
  <c r="V73" i="8" s="1"/>
  <c r="U74" i="8"/>
  <c r="V74" i="8" s="1"/>
  <c r="U75" i="8"/>
  <c r="V75" i="8" s="1"/>
  <c r="U76" i="8"/>
  <c r="V76" i="8" s="1"/>
  <c r="U77" i="8"/>
  <c r="V77" i="8" s="1"/>
  <c r="U78" i="8"/>
  <c r="V78" i="8" s="1"/>
  <c r="U79" i="8"/>
  <c r="V79" i="8" s="1"/>
  <c r="U80" i="8"/>
  <c r="V80" i="8" s="1"/>
  <c r="U81" i="8"/>
  <c r="V81" i="8" s="1"/>
  <c r="U82" i="8"/>
  <c r="U83" i="8"/>
  <c r="U84" i="8"/>
  <c r="V84" i="8" s="1"/>
  <c r="U85" i="8"/>
  <c r="V85" i="8" s="1"/>
  <c r="U86" i="8"/>
  <c r="V86" i="8" s="1"/>
  <c r="U87" i="8"/>
  <c r="V87" i="8" s="1"/>
  <c r="U88" i="8"/>
  <c r="V88" i="8" s="1"/>
  <c r="U89" i="8"/>
  <c r="V89" i="8" s="1"/>
  <c r="U90" i="8"/>
  <c r="V90" i="8" s="1"/>
  <c r="U91" i="8"/>
  <c r="V91" i="8" s="1"/>
  <c r="U92" i="8"/>
  <c r="V92" i="8" s="1"/>
  <c r="U93" i="8"/>
  <c r="V93" i="8" s="1"/>
  <c r="U94" i="8"/>
  <c r="V94" i="8" s="1"/>
  <c r="U95" i="8"/>
  <c r="V95" i="8" s="1"/>
  <c r="U96" i="8"/>
  <c r="V96" i="8" s="1"/>
  <c r="U97" i="8"/>
  <c r="V97" i="8" s="1"/>
  <c r="U98" i="8"/>
  <c r="V98" i="8" s="1"/>
  <c r="U99" i="8"/>
  <c r="V99" i="8" s="1"/>
  <c r="U100" i="8"/>
  <c r="V100" i="8" s="1"/>
  <c r="U101" i="8"/>
  <c r="V101" i="8" s="1"/>
  <c r="U102" i="8"/>
  <c r="U103" i="8"/>
  <c r="U104" i="8"/>
  <c r="V104" i="8" s="1"/>
  <c r="U105" i="8"/>
  <c r="V105" i="8" s="1"/>
  <c r="U106" i="8"/>
  <c r="V106" i="8" s="1"/>
  <c r="U107" i="8"/>
  <c r="V107" i="8" s="1"/>
  <c r="U108" i="8"/>
  <c r="V108" i="8" s="1"/>
  <c r="U109" i="8"/>
  <c r="V109" i="8" s="1"/>
  <c r="U110" i="8"/>
  <c r="V110" i="8" s="1"/>
  <c r="U111" i="8"/>
  <c r="V111" i="8" s="1"/>
  <c r="U112" i="8"/>
  <c r="V112" i="8" s="1"/>
  <c r="U113" i="8"/>
  <c r="U114" i="8"/>
  <c r="V114" i="8" s="1"/>
  <c r="U115" i="8"/>
  <c r="V115" i="8" s="1"/>
  <c r="U116" i="8"/>
  <c r="V116" i="8" s="1"/>
  <c r="U117" i="8"/>
  <c r="V117" i="8" s="1"/>
  <c r="U118" i="8"/>
  <c r="V118" i="8" s="1"/>
  <c r="U119" i="8"/>
  <c r="V119" i="8" s="1"/>
  <c r="U120" i="8"/>
  <c r="V120" i="8" s="1"/>
  <c r="U121" i="8"/>
  <c r="V121" i="8" s="1"/>
  <c r="U122" i="8"/>
  <c r="U123" i="8"/>
  <c r="U124" i="8"/>
  <c r="V124" i="8" s="1"/>
  <c r="U125" i="8"/>
  <c r="V125" i="8" s="1"/>
  <c r="U126" i="8"/>
  <c r="V126" i="8" s="1"/>
  <c r="U127" i="8"/>
  <c r="V127" i="8" s="1"/>
  <c r="U128" i="8"/>
  <c r="V128" i="8" s="1"/>
  <c r="U129" i="8"/>
  <c r="V129" i="8" s="1"/>
  <c r="U130" i="8"/>
  <c r="V130" i="8" s="1"/>
  <c r="U131" i="8"/>
  <c r="V131" i="8" s="1"/>
  <c r="U132" i="8"/>
  <c r="V132" i="8" s="1"/>
  <c r="U133" i="8"/>
  <c r="U134" i="8"/>
  <c r="V134" i="8" s="1"/>
  <c r="U135" i="8"/>
  <c r="V135" i="8" s="1"/>
  <c r="U136" i="8"/>
  <c r="V136" i="8" s="1"/>
  <c r="U137" i="8"/>
  <c r="V137" i="8" s="1"/>
  <c r="U138" i="8"/>
  <c r="V138" i="8" s="1"/>
  <c r="U139" i="8"/>
  <c r="V139" i="8" s="1"/>
  <c r="U140" i="8"/>
  <c r="V140" i="8" s="1"/>
  <c r="U141" i="8"/>
  <c r="V141" i="8" s="1"/>
  <c r="U142" i="8"/>
  <c r="U143" i="8"/>
  <c r="U144" i="8"/>
  <c r="V144" i="8" s="1"/>
  <c r="U145" i="8"/>
  <c r="V145" i="8" s="1"/>
  <c r="U146" i="8"/>
  <c r="V146" i="8" s="1"/>
  <c r="U147" i="8"/>
  <c r="V147" i="8" s="1"/>
  <c r="U148" i="8"/>
  <c r="V148" i="8" s="1"/>
  <c r="U149" i="8"/>
  <c r="V149" i="8" s="1"/>
  <c r="U150" i="8"/>
  <c r="V150" i="8" s="1"/>
  <c r="U151" i="8"/>
  <c r="V151" i="8" s="1"/>
  <c r="U152" i="8"/>
  <c r="V152" i="8" s="1"/>
  <c r="U153" i="8"/>
  <c r="U154" i="8"/>
  <c r="V154" i="8" s="1"/>
  <c r="U155" i="8"/>
  <c r="V155" i="8" s="1"/>
  <c r="U156" i="8"/>
  <c r="V156" i="8" s="1"/>
  <c r="U157" i="8"/>
  <c r="U158" i="8"/>
  <c r="U159" i="8"/>
  <c r="U160" i="8"/>
  <c r="U161" i="8"/>
  <c r="V161" i="8" s="1"/>
  <c r="U162" i="8"/>
  <c r="V162" i="8" s="1"/>
  <c r="U163" i="8"/>
  <c r="U164" i="8"/>
  <c r="V164" i="8" s="1"/>
  <c r="U165" i="8"/>
  <c r="V165" i="8" s="1"/>
  <c r="U166" i="8"/>
  <c r="V166" i="8" s="1"/>
  <c r="U167" i="8"/>
  <c r="V167" i="8" s="1"/>
  <c r="U168" i="8"/>
  <c r="V168" i="8" s="1"/>
  <c r="U169" i="8"/>
  <c r="V169" i="8" s="1"/>
  <c r="U170" i="8"/>
  <c r="V170" i="8" s="1"/>
  <c r="U171" i="8"/>
  <c r="V171" i="8" s="1"/>
  <c r="U172" i="8"/>
  <c r="V172" i="8" s="1"/>
  <c r="U173" i="8"/>
  <c r="V173" i="8" s="1"/>
  <c r="U174" i="8"/>
  <c r="V174" i="8" s="1"/>
  <c r="U175" i="8"/>
  <c r="V175" i="8" s="1"/>
  <c r="U176" i="8"/>
  <c r="V176" i="8" s="1"/>
  <c r="U177" i="8"/>
  <c r="V177" i="8" s="1"/>
  <c r="U178" i="8"/>
  <c r="V178" i="8" s="1"/>
  <c r="U179" i="8"/>
  <c r="V179" i="8" s="1"/>
  <c r="U180" i="8"/>
  <c r="V180" i="8" s="1"/>
  <c r="U181" i="8"/>
  <c r="V181" i="8" s="1"/>
  <c r="U182" i="8"/>
  <c r="V182" i="8" s="1"/>
  <c r="U183" i="8"/>
  <c r="U184" i="8"/>
  <c r="V184" i="8" s="1"/>
  <c r="U185" i="8"/>
  <c r="V185" i="8" s="1"/>
  <c r="U186" i="8"/>
  <c r="V186" i="8" s="1"/>
  <c r="U187" i="8"/>
  <c r="V187" i="8" s="1"/>
  <c r="U188" i="8"/>
  <c r="V188" i="8" s="1"/>
  <c r="U189" i="8"/>
  <c r="V189" i="8" s="1"/>
  <c r="U190" i="8"/>
  <c r="V190" i="8" s="1"/>
  <c r="U191" i="8"/>
  <c r="V191" i="8" s="1"/>
  <c r="U192" i="8"/>
  <c r="V192" i="8" s="1"/>
  <c r="U193" i="8"/>
  <c r="U194" i="8"/>
  <c r="V194" i="8" s="1"/>
  <c r="U195" i="8"/>
  <c r="V195" i="8" s="1"/>
  <c r="U196" i="8"/>
  <c r="V196" i="8" s="1"/>
  <c r="U197" i="8"/>
  <c r="V197" i="8" s="1"/>
  <c r="U198" i="8"/>
  <c r="V198" i="8" s="1"/>
  <c r="U199" i="8"/>
  <c r="V199" i="8" s="1"/>
  <c r="U200" i="8"/>
  <c r="V200" i="8" s="1"/>
  <c r="U201" i="8"/>
  <c r="V201" i="8" s="1"/>
  <c r="U202" i="8"/>
  <c r="U203" i="8"/>
  <c r="U204" i="8"/>
  <c r="V204" i="8" s="1"/>
  <c r="U205" i="8"/>
  <c r="V205" i="8" s="1"/>
  <c r="U206" i="8"/>
  <c r="V206" i="8" s="1"/>
  <c r="U207" i="8"/>
  <c r="V207" i="8" s="1"/>
  <c r="U208" i="8"/>
  <c r="V208" i="8" s="1"/>
  <c r="U209" i="8"/>
  <c r="V209" i="8" s="1"/>
  <c r="U210" i="8"/>
  <c r="V210" i="8" s="1"/>
  <c r="U211" i="8"/>
  <c r="V211" i="8" s="1"/>
  <c r="U212" i="8"/>
  <c r="V212" i="8" s="1"/>
  <c r="U213" i="8"/>
  <c r="V213" i="8" s="1"/>
  <c r="U214" i="8"/>
  <c r="V214" i="8" s="1"/>
  <c r="U215" i="8"/>
  <c r="V215" i="8" s="1"/>
  <c r="U216" i="8"/>
  <c r="V216" i="8" s="1"/>
  <c r="U217" i="8"/>
  <c r="V217" i="8" s="1"/>
  <c r="U218" i="8"/>
  <c r="V218" i="8" s="1"/>
  <c r="U219" i="8"/>
  <c r="V219" i="8" s="1"/>
  <c r="U220" i="8"/>
  <c r="V220" i="8" s="1"/>
  <c r="U221" i="8"/>
  <c r="V221" i="8" s="1"/>
  <c r="U222" i="8"/>
  <c r="U223" i="8"/>
  <c r="U224" i="8"/>
  <c r="V224" i="8" s="1"/>
  <c r="U225" i="8"/>
  <c r="V225" i="8" s="1"/>
  <c r="U226" i="8"/>
  <c r="V226" i="8" s="1"/>
  <c r="U227" i="8"/>
  <c r="V227" i="8" s="1"/>
  <c r="U228" i="8"/>
  <c r="V228" i="8" s="1"/>
  <c r="U229" i="8"/>
  <c r="V229" i="8" s="1"/>
  <c r="U230" i="8"/>
  <c r="V230" i="8" s="1"/>
  <c r="U231" i="8"/>
  <c r="V231" i="8" s="1"/>
  <c r="U232" i="8"/>
  <c r="V232" i="8" s="1"/>
  <c r="U233" i="8"/>
  <c r="U234" i="8"/>
  <c r="V234" i="8" s="1"/>
  <c r="U235" i="8"/>
  <c r="V235" i="8" s="1"/>
  <c r="U236" i="8"/>
  <c r="V236" i="8" s="1"/>
  <c r="U237" i="8"/>
  <c r="V237" i="8" s="1"/>
  <c r="U238" i="8"/>
  <c r="V238" i="8" s="1"/>
  <c r="U239" i="8"/>
  <c r="V239" i="8" s="1"/>
  <c r="U240" i="8"/>
  <c r="V240" i="8" s="1"/>
  <c r="U241" i="8"/>
  <c r="V241" i="8" s="1"/>
  <c r="U242" i="8"/>
  <c r="U243" i="8"/>
  <c r="U244" i="8"/>
  <c r="V244" i="8" s="1"/>
  <c r="U245" i="8"/>
  <c r="V245" i="8" s="1"/>
  <c r="U246" i="8"/>
  <c r="V246" i="8" s="1"/>
  <c r="U247" i="8"/>
  <c r="V247" i="8" s="1"/>
  <c r="U248" i="8"/>
  <c r="V248" i="8" s="1"/>
  <c r="U249" i="8"/>
  <c r="V249" i="8" s="1"/>
  <c r="U250" i="8"/>
  <c r="V250" i="8" s="1"/>
  <c r="U251" i="8"/>
  <c r="V251" i="8" s="1"/>
  <c r="U252" i="8"/>
  <c r="V252" i="8" s="1"/>
  <c r="U253" i="8"/>
  <c r="U254" i="8"/>
  <c r="V254" i="8" s="1"/>
  <c r="U255" i="8"/>
  <c r="V255" i="8" s="1"/>
  <c r="U256" i="8"/>
  <c r="V256" i="8" s="1"/>
  <c r="U257" i="8"/>
  <c r="U258" i="8"/>
  <c r="U259" i="8"/>
  <c r="V259" i="8" s="1"/>
  <c r="U260" i="8"/>
  <c r="V260" i="8" s="1"/>
  <c r="U261" i="8"/>
  <c r="V261" i="8" s="1"/>
  <c r="U262" i="8"/>
  <c r="V262" i="8" s="1"/>
  <c r="U263" i="8"/>
  <c r="U264" i="8"/>
  <c r="V264" i="8" s="1"/>
  <c r="U265" i="8"/>
  <c r="V265" i="8" s="1"/>
  <c r="U266" i="8"/>
  <c r="V266" i="8" s="1"/>
  <c r="U267" i="8"/>
  <c r="V267" i="8" s="1"/>
  <c r="U268" i="8"/>
  <c r="V268" i="8" s="1"/>
  <c r="U269" i="8"/>
  <c r="V269" i="8" s="1"/>
  <c r="U270" i="8"/>
  <c r="V270" i="8" s="1"/>
  <c r="U271" i="8"/>
  <c r="V271" i="8" s="1"/>
  <c r="U272" i="8"/>
  <c r="V272" i="8" s="1"/>
  <c r="U273" i="8"/>
  <c r="V273" i="8" s="1"/>
  <c r="U274" i="8"/>
  <c r="V274" i="8" s="1"/>
  <c r="U275" i="8"/>
  <c r="V275" i="8" s="1"/>
  <c r="U276" i="8"/>
  <c r="V276" i="8" s="1"/>
  <c r="U277" i="8"/>
  <c r="V277" i="8" s="1"/>
  <c r="U278" i="8"/>
  <c r="V278" i="8" s="1"/>
  <c r="U279" i="8"/>
  <c r="V279" i="8" s="1"/>
  <c r="U280" i="8"/>
  <c r="V280" i="8" s="1"/>
  <c r="U281" i="8"/>
  <c r="V281" i="8" s="1"/>
  <c r="U282" i="8"/>
  <c r="U283" i="8"/>
  <c r="U284" i="8"/>
  <c r="V284" i="8" s="1"/>
  <c r="U285" i="8"/>
  <c r="V285" i="8" s="1"/>
  <c r="U286" i="8"/>
  <c r="V286" i="8" s="1"/>
  <c r="U287" i="8"/>
  <c r="V287" i="8" s="1"/>
  <c r="U288" i="8"/>
  <c r="V288" i="8" s="1"/>
  <c r="U289" i="8"/>
  <c r="V289" i="8" s="1"/>
  <c r="U290" i="8"/>
  <c r="V290" i="8" s="1"/>
  <c r="U291" i="8"/>
  <c r="V291" i="8" s="1"/>
  <c r="U292" i="8"/>
  <c r="V292" i="8" s="1"/>
  <c r="U293" i="8"/>
  <c r="U294" i="8"/>
  <c r="V294" i="8" s="1"/>
  <c r="U295" i="8"/>
  <c r="V295" i="8" s="1"/>
  <c r="U296" i="8"/>
  <c r="V296" i="8" s="1"/>
  <c r="U297" i="8"/>
  <c r="U298" i="8"/>
  <c r="U299" i="8"/>
  <c r="U300" i="8"/>
  <c r="U301" i="8"/>
  <c r="V301" i="8" s="1"/>
  <c r="U302" i="8"/>
  <c r="V302" i="8" s="1"/>
  <c r="U303" i="8"/>
  <c r="U304" i="8"/>
  <c r="V304" i="8" s="1"/>
  <c r="U305" i="8"/>
  <c r="V305" i="8" s="1"/>
  <c r="U306" i="8"/>
  <c r="V306" i="8" s="1"/>
  <c r="U307" i="8"/>
  <c r="V307" i="8" s="1"/>
  <c r="U308" i="8"/>
  <c r="V308" i="8" s="1"/>
  <c r="U309" i="8"/>
  <c r="V309" i="8" s="1"/>
  <c r="U310" i="8"/>
  <c r="V310" i="8" s="1"/>
  <c r="U311" i="8"/>
  <c r="V311" i="8" s="1"/>
  <c r="U312" i="8"/>
  <c r="V312" i="8" s="1"/>
  <c r="U313" i="8"/>
  <c r="V313" i="8" s="1"/>
  <c r="U314" i="8"/>
  <c r="V314" i="8" s="1"/>
  <c r="U315" i="8"/>
  <c r="V315" i="8" s="1"/>
  <c r="U316" i="8"/>
  <c r="V316" i="8" s="1"/>
  <c r="V2" i="8"/>
  <c r="V3" i="8"/>
  <c r="V13" i="8"/>
  <c r="V17" i="8"/>
  <c r="V18" i="8"/>
  <c r="V23" i="8"/>
  <c r="V42" i="8"/>
  <c r="V43" i="8"/>
  <c r="V53" i="8"/>
  <c r="V62" i="8"/>
  <c r="V63" i="8"/>
  <c r="V82" i="8"/>
  <c r="V83" i="8"/>
  <c r="V102" i="8"/>
  <c r="V103" i="8"/>
  <c r="V113" i="8"/>
  <c r="V122" i="8"/>
  <c r="V123" i="8"/>
  <c r="V133" i="8"/>
  <c r="V142" i="8"/>
  <c r="V143" i="8"/>
  <c r="V153" i="8"/>
  <c r="V157" i="8"/>
  <c r="V158" i="8"/>
  <c r="V159" i="8"/>
  <c r="V160" i="8"/>
  <c r="V163" i="8"/>
  <c r="V183" i="8"/>
  <c r="V193" i="8"/>
  <c r="V202" i="8"/>
  <c r="V203" i="8"/>
  <c r="V222" i="8"/>
  <c r="V223" i="8"/>
  <c r="V233" i="8"/>
  <c r="V242" i="8"/>
  <c r="V243" i="8"/>
  <c r="V253" i="8"/>
  <c r="V257" i="8"/>
  <c r="V258" i="8"/>
  <c r="V263" i="8"/>
  <c r="V282" i="8"/>
  <c r="V283" i="8"/>
  <c r="V293" i="8"/>
  <c r="V297" i="8"/>
  <c r="V298" i="8"/>
  <c r="V299" i="8"/>
  <c r="V300" i="8"/>
  <c r="V303" i="8"/>
  <c r="W2" i="8"/>
  <c r="W3" i="8"/>
  <c r="W4" i="8"/>
  <c r="W5" i="8"/>
  <c r="W6" i="8"/>
  <c r="W7" i="8"/>
  <c r="W8" i="8"/>
  <c r="W9" i="8"/>
  <c r="W10" i="8"/>
  <c r="W11" i="8"/>
  <c r="W12" i="8"/>
  <c r="W13" i="8"/>
  <c r="W14" i="8"/>
  <c r="W15" i="8"/>
  <c r="W16" i="8"/>
  <c r="W17" i="8"/>
  <c r="W18" i="8"/>
  <c r="W19" i="8"/>
  <c r="W20" i="8"/>
  <c r="W21" i="8"/>
  <c r="W22" i="8"/>
  <c r="W23" i="8"/>
  <c r="W24" i="8"/>
  <c r="W25" i="8"/>
  <c r="W26" i="8"/>
  <c r="W27" i="8"/>
  <c r="W28" i="8"/>
  <c r="W29" i="8"/>
  <c r="W30" i="8"/>
  <c r="W31" i="8"/>
  <c r="W32" i="8"/>
  <c r="W33" i="8"/>
  <c r="W34" i="8"/>
  <c r="W35" i="8"/>
  <c r="W36" i="8"/>
  <c r="W37" i="8"/>
  <c r="W38" i="8"/>
  <c r="W39" i="8"/>
  <c r="W40" i="8"/>
  <c r="W41" i="8"/>
  <c r="W42" i="8"/>
  <c r="W43" i="8"/>
  <c r="W44" i="8"/>
  <c r="W45" i="8"/>
  <c r="W46" i="8"/>
  <c r="W47" i="8"/>
  <c r="W48" i="8"/>
  <c r="W49" i="8"/>
  <c r="W50" i="8"/>
  <c r="W51" i="8"/>
  <c r="W52" i="8"/>
  <c r="W53" i="8"/>
  <c r="W54" i="8"/>
  <c r="W55" i="8"/>
  <c r="W56" i="8"/>
  <c r="W57" i="8"/>
  <c r="W58" i="8"/>
  <c r="W59" i="8"/>
  <c r="W60" i="8"/>
  <c r="W61" i="8"/>
  <c r="W62" i="8"/>
  <c r="W63" i="8"/>
  <c r="W64" i="8"/>
  <c r="W65" i="8"/>
  <c r="W66" i="8"/>
  <c r="W67" i="8"/>
  <c r="W68" i="8"/>
  <c r="W69" i="8"/>
  <c r="W70" i="8"/>
  <c r="W71" i="8"/>
  <c r="W72" i="8"/>
  <c r="W73" i="8"/>
  <c r="W74" i="8"/>
  <c r="W75" i="8"/>
  <c r="W76" i="8"/>
  <c r="W77" i="8"/>
  <c r="W78" i="8"/>
  <c r="W79" i="8"/>
  <c r="W80" i="8"/>
  <c r="W81" i="8"/>
  <c r="W82" i="8"/>
  <c r="W83" i="8"/>
  <c r="W84" i="8"/>
  <c r="W85" i="8"/>
  <c r="W86" i="8"/>
  <c r="W87" i="8"/>
  <c r="W88" i="8"/>
  <c r="W89" i="8"/>
  <c r="W90" i="8"/>
  <c r="W91" i="8"/>
  <c r="W92" i="8"/>
  <c r="W93" i="8"/>
  <c r="W94" i="8"/>
  <c r="W95" i="8"/>
  <c r="W96" i="8"/>
  <c r="W97" i="8"/>
  <c r="W98" i="8"/>
  <c r="W99" i="8"/>
  <c r="W100" i="8"/>
  <c r="W101" i="8"/>
  <c r="W102" i="8"/>
  <c r="W103" i="8"/>
  <c r="W104" i="8"/>
  <c r="W105" i="8"/>
  <c r="W106" i="8"/>
  <c r="W107" i="8"/>
  <c r="W108" i="8"/>
  <c r="W109" i="8"/>
  <c r="W110" i="8"/>
  <c r="W111" i="8"/>
  <c r="W112" i="8"/>
  <c r="W113" i="8"/>
  <c r="W114" i="8"/>
  <c r="W115" i="8"/>
  <c r="W116" i="8"/>
  <c r="W117" i="8"/>
  <c r="W118" i="8"/>
  <c r="W119" i="8"/>
  <c r="W120" i="8"/>
  <c r="W121" i="8"/>
  <c r="W122" i="8"/>
  <c r="W123" i="8"/>
  <c r="W124" i="8"/>
  <c r="W125" i="8"/>
  <c r="W126" i="8"/>
  <c r="W127" i="8"/>
  <c r="W128" i="8"/>
  <c r="W129" i="8"/>
  <c r="W130" i="8"/>
  <c r="W131" i="8"/>
  <c r="W132" i="8"/>
  <c r="W133" i="8"/>
  <c r="W134" i="8"/>
  <c r="W135" i="8"/>
  <c r="W136" i="8"/>
  <c r="W137" i="8"/>
  <c r="W138" i="8"/>
  <c r="W139" i="8"/>
  <c r="W140" i="8"/>
  <c r="W141" i="8"/>
  <c r="W142" i="8"/>
  <c r="W143" i="8"/>
  <c r="W144" i="8"/>
  <c r="W145" i="8"/>
  <c r="W146" i="8"/>
  <c r="W147" i="8"/>
  <c r="W148" i="8"/>
  <c r="W149" i="8"/>
  <c r="W150" i="8"/>
  <c r="W151" i="8"/>
  <c r="W152" i="8"/>
  <c r="W153" i="8"/>
  <c r="W154" i="8"/>
  <c r="W155" i="8"/>
  <c r="W156" i="8"/>
  <c r="W157" i="8"/>
  <c r="W158" i="8"/>
  <c r="W159" i="8"/>
  <c r="W160" i="8"/>
  <c r="W161" i="8"/>
  <c r="W162" i="8"/>
  <c r="W163" i="8"/>
  <c r="W164" i="8"/>
  <c r="W165" i="8"/>
  <c r="W166" i="8"/>
  <c r="W167" i="8"/>
  <c r="W168" i="8"/>
  <c r="W169" i="8"/>
  <c r="W170" i="8"/>
  <c r="W171" i="8"/>
  <c r="W172" i="8"/>
  <c r="W173" i="8"/>
  <c r="W174" i="8"/>
  <c r="W175" i="8"/>
  <c r="W176" i="8"/>
  <c r="W177" i="8"/>
  <c r="W178" i="8"/>
  <c r="W179" i="8"/>
  <c r="W180" i="8"/>
  <c r="W181" i="8"/>
  <c r="W182" i="8"/>
  <c r="W183" i="8"/>
  <c r="W184" i="8"/>
  <c r="W185" i="8"/>
  <c r="W186" i="8"/>
  <c r="W187" i="8"/>
  <c r="W188" i="8"/>
  <c r="W189" i="8"/>
  <c r="W190" i="8"/>
  <c r="W191" i="8"/>
  <c r="W192" i="8"/>
  <c r="W193" i="8"/>
  <c r="W194" i="8"/>
  <c r="W195" i="8"/>
  <c r="W196" i="8"/>
  <c r="W197" i="8"/>
  <c r="W198" i="8"/>
  <c r="W199" i="8"/>
  <c r="W200" i="8"/>
  <c r="W201" i="8"/>
  <c r="W202" i="8"/>
  <c r="W203" i="8"/>
  <c r="W204" i="8"/>
  <c r="W205" i="8"/>
  <c r="W206" i="8"/>
  <c r="W207" i="8"/>
  <c r="W208" i="8"/>
  <c r="W209" i="8"/>
  <c r="W210" i="8"/>
  <c r="W211" i="8"/>
  <c r="W212" i="8"/>
  <c r="W213" i="8"/>
  <c r="W214" i="8"/>
  <c r="W215" i="8"/>
  <c r="W216" i="8"/>
  <c r="W217" i="8"/>
  <c r="W218" i="8"/>
  <c r="W219" i="8"/>
  <c r="W220" i="8"/>
  <c r="W221" i="8"/>
  <c r="W222" i="8"/>
  <c r="W223" i="8"/>
  <c r="W224" i="8"/>
  <c r="W225" i="8"/>
  <c r="W226" i="8"/>
  <c r="W227" i="8"/>
  <c r="W228" i="8"/>
  <c r="W229" i="8"/>
  <c r="W230" i="8"/>
  <c r="W231" i="8"/>
  <c r="W232" i="8"/>
  <c r="W233" i="8"/>
  <c r="W234" i="8"/>
  <c r="W235" i="8"/>
  <c r="W236" i="8"/>
  <c r="W237" i="8"/>
  <c r="W238" i="8"/>
  <c r="W239" i="8"/>
  <c r="W240" i="8"/>
  <c r="W241" i="8"/>
  <c r="W242" i="8"/>
  <c r="W243" i="8"/>
  <c r="W244" i="8"/>
  <c r="W245" i="8"/>
  <c r="W246" i="8"/>
  <c r="W247" i="8"/>
  <c r="W248" i="8"/>
  <c r="W249" i="8"/>
  <c r="W250" i="8"/>
  <c r="W251" i="8"/>
  <c r="W252" i="8"/>
  <c r="W253" i="8"/>
  <c r="W254" i="8"/>
  <c r="W255" i="8"/>
  <c r="W256" i="8"/>
  <c r="W257" i="8"/>
  <c r="W258" i="8"/>
  <c r="W259" i="8"/>
  <c r="W260" i="8"/>
  <c r="W261" i="8"/>
  <c r="W262" i="8"/>
  <c r="W263" i="8"/>
  <c r="W264" i="8"/>
  <c r="W265" i="8"/>
  <c r="W266" i="8"/>
  <c r="W267" i="8"/>
  <c r="W268" i="8"/>
  <c r="W269" i="8"/>
  <c r="W270" i="8"/>
  <c r="W271" i="8"/>
  <c r="W272" i="8"/>
  <c r="W273" i="8"/>
  <c r="W274" i="8"/>
  <c r="W275" i="8"/>
  <c r="W276" i="8"/>
  <c r="W277" i="8"/>
  <c r="W278" i="8"/>
  <c r="W279" i="8"/>
  <c r="W280" i="8"/>
  <c r="W281" i="8"/>
  <c r="W282" i="8"/>
  <c r="W283" i="8"/>
  <c r="W284" i="8"/>
  <c r="W285" i="8"/>
  <c r="W286" i="8"/>
  <c r="W287" i="8"/>
  <c r="W288" i="8"/>
  <c r="W289" i="8"/>
  <c r="W290" i="8"/>
  <c r="W291" i="8"/>
  <c r="W292" i="8"/>
  <c r="W293" i="8"/>
  <c r="W294" i="8"/>
  <c r="W295" i="8"/>
  <c r="W296" i="8"/>
  <c r="W297" i="8"/>
  <c r="W298" i="8"/>
  <c r="W299" i="8"/>
  <c r="W300" i="8"/>
  <c r="W301" i="8"/>
  <c r="W302" i="8"/>
  <c r="W303" i="8"/>
  <c r="W304" i="8"/>
  <c r="W305" i="8"/>
  <c r="W306" i="8"/>
  <c r="W307" i="8"/>
  <c r="W308" i="8"/>
  <c r="W309" i="8"/>
  <c r="W310" i="8"/>
  <c r="W311" i="8"/>
  <c r="W312" i="8"/>
  <c r="W313" i="8"/>
  <c r="W314" i="8"/>
  <c r="W315" i="8"/>
  <c r="W316" i="8"/>
  <c r="X2" i="8" a="1"/>
  <c r="X2" i="8"/>
  <c r="X3" i="8" a="1"/>
  <c r="X3" i="8"/>
  <c r="X4" i="8" a="1"/>
  <c r="X4" i="8"/>
  <c r="X5" i="8" a="1"/>
  <c r="X5" i="8"/>
  <c r="X6" i="8" a="1"/>
  <c r="X6" i="8"/>
  <c r="X7" i="8" a="1"/>
  <c r="X7" i="8"/>
  <c r="X8" i="8" a="1"/>
  <c r="X8" i="8" s="1"/>
  <c r="X9" i="8" a="1"/>
  <c r="X9" i="8" s="1"/>
  <c r="X10" i="8" a="1"/>
  <c r="X10" i="8"/>
  <c r="X11" i="8" a="1"/>
  <c r="X11" i="8"/>
  <c r="X12" i="8" a="1"/>
  <c r="X12" i="8" s="1"/>
  <c r="X13" i="8" a="1"/>
  <c r="X13" i="8"/>
  <c r="X14" i="8" a="1"/>
  <c r="X14" i="8"/>
  <c r="X15" i="8" a="1"/>
  <c r="X15" i="8"/>
  <c r="X16" i="8" a="1"/>
  <c r="X16" i="8"/>
  <c r="X17" i="8" a="1"/>
  <c r="X17" i="8"/>
  <c r="X18" i="8" a="1"/>
  <c r="X18" i="8" s="1"/>
  <c r="X19" i="8" a="1"/>
  <c r="X19" i="8" s="1"/>
  <c r="X20" i="8" a="1"/>
  <c r="X20" i="8"/>
  <c r="X21" i="8" a="1"/>
  <c r="X21" i="8"/>
  <c r="X22" i="8" a="1"/>
  <c r="X22" i="8"/>
  <c r="X23" i="8" a="1"/>
  <c r="X23" i="8" s="1"/>
  <c r="X24" i="8" a="1"/>
  <c r="X24" i="8"/>
  <c r="X25" i="8" a="1"/>
  <c r="X25" i="8"/>
  <c r="X26" i="8" a="1"/>
  <c r="X26" i="8"/>
  <c r="X27" i="8" a="1"/>
  <c r="X27" i="8"/>
  <c r="X28" i="8" a="1"/>
  <c r="X28" i="8" s="1"/>
  <c r="X29" i="8" a="1"/>
  <c r="X29" i="8" s="1"/>
  <c r="X30" i="8" a="1"/>
  <c r="X30" i="8"/>
  <c r="X31" i="8" a="1"/>
  <c r="X31" i="8"/>
  <c r="X32" i="8" a="1"/>
  <c r="X32" i="8"/>
  <c r="X33" i="8" a="1"/>
  <c r="X33" i="8"/>
  <c r="X34" i="8" a="1"/>
  <c r="X34" i="8" s="1"/>
  <c r="X35" i="8" a="1"/>
  <c r="X35" i="8"/>
  <c r="X36" i="8" a="1"/>
  <c r="X36" i="8"/>
  <c r="X37" i="8" a="1"/>
  <c r="X37" i="8"/>
  <c r="X38" i="8" a="1"/>
  <c r="X38" i="8" s="1"/>
  <c r="X39" i="8" a="1"/>
  <c r="X39" i="8" s="1"/>
  <c r="X40" i="8" a="1"/>
  <c r="X40" i="8"/>
  <c r="X41" i="8" a="1"/>
  <c r="X41" i="8"/>
  <c r="X42" i="8" a="1"/>
  <c r="X42" i="8"/>
  <c r="X43" i="8" a="1"/>
  <c r="X43" i="8"/>
  <c r="X44" i="8" a="1"/>
  <c r="X44" i="8" s="1"/>
  <c r="X45" i="8" a="1"/>
  <c r="X45" i="8"/>
  <c r="X46" i="8" a="1"/>
  <c r="X46" i="8" s="1"/>
  <c r="X47" i="8" a="1"/>
  <c r="X47" i="8" s="1"/>
  <c r="X48" i="8" a="1"/>
  <c r="X48" i="8" s="1"/>
  <c r="X49" i="8" a="1"/>
  <c r="X49" i="8" s="1"/>
  <c r="X50" i="8" a="1"/>
  <c r="X50" i="8"/>
  <c r="X51" i="8" a="1"/>
  <c r="X51" i="8" s="1"/>
  <c r="X52" i="8" a="1"/>
  <c r="X52" i="8"/>
  <c r="X53" i="8" a="1"/>
  <c r="X53" i="8"/>
  <c r="X54" i="8" a="1"/>
  <c r="X54" i="8"/>
  <c r="X55" i="8" a="1"/>
  <c r="X55" i="8"/>
  <c r="X56" i="8" a="1"/>
  <c r="X56" i="8"/>
  <c r="X57" i="8" a="1"/>
  <c r="X57" i="8" s="1"/>
  <c r="X58" i="8" a="1"/>
  <c r="X58" i="8" s="1"/>
  <c r="X59" i="8" a="1"/>
  <c r="X59" i="8" s="1"/>
  <c r="X60" i="8" a="1"/>
  <c r="X60" i="8"/>
  <c r="X61" i="8" a="1"/>
  <c r="X61" i="8"/>
  <c r="X62" i="8" a="1"/>
  <c r="X62" i="8" s="1"/>
  <c r="X63" i="8" a="1"/>
  <c r="X63" i="8"/>
  <c r="X64" i="8" a="1"/>
  <c r="X64" i="8"/>
  <c r="X65" i="8" a="1"/>
  <c r="X65" i="8"/>
  <c r="X66" i="8" a="1"/>
  <c r="X66" i="8" s="1"/>
  <c r="X67" i="8" a="1"/>
  <c r="X67" i="8"/>
  <c r="X68" i="8" a="1"/>
  <c r="X68" i="8" s="1"/>
  <c r="X69" i="8" a="1"/>
  <c r="X69" i="8" s="1"/>
  <c r="X70" i="8" a="1"/>
  <c r="X70" i="8"/>
  <c r="X71" i="8" a="1"/>
  <c r="X71" i="8"/>
  <c r="X72" i="8" a="1"/>
  <c r="X72" i="8"/>
  <c r="X73" i="8" a="1"/>
  <c r="X73" i="8"/>
  <c r="X74" i="8" a="1"/>
  <c r="X74" i="8" s="1"/>
  <c r="X75" i="8" a="1"/>
  <c r="X75" i="8"/>
  <c r="X76" i="8" a="1"/>
  <c r="X76" i="8"/>
  <c r="X77" i="8" a="1"/>
  <c r="X77" i="8"/>
  <c r="X78" i="8" a="1"/>
  <c r="X78" i="8" s="1"/>
  <c r="X79" i="8" a="1"/>
  <c r="X79" i="8" s="1"/>
  <c r="X80" i="8" a="1"/>
  <c r="X80" i="8"/>
  <c r="X81" i="8" a="1"/>
  <c r="X81" i="8" s="1"/>
  <c r="X82" i="8" a="1"/>
  <c r="X82" i="8" s="1"/>
  <c r="X83" i="8" a="1"/>
  <c r="X83" i="8"/>
  <c r="X84" i="8" a="1"/>
  <c r="X84" i="8"/>
  <c r="X85" i="8" a="1"/>
  <c r="X85" i="8" s="1"/>
  <c r="X86" i="8" a="1"/>
  <c r="X86" i="8"/>
  <c r="X87" i="8" a="1"/>
  <c r="X87" i="8"/>
  <c r="X88" i="8" a="1"/>
  <c r="X88" i="8" s="1"/>
  <c r="X89" i="8" a="1"/>
  <c r="X89" i="8" s="1"/>
  <c r="X90" i="8" a="1"/>
  <c r="X90" i="8"/>
  <c r="X91" i="8" a="1"/>
  <c r="X91" i="8"/>
  <c r="X92" i="8" a="1"/>
  <c r="X92" i="8" s="1"/>
  <c r="X93" i="8" a="1"/>
  <c r="X93" i="8" s="1"/>
  <c r="X94" i="8" a="1"/>
  <c r="X94" i="8"/>
  <c r="X95" i="8" a="1"/>
  <c r="X95" i="8"/>
  <c r="X96" i="8" a="1"/>
  <c r="X96" i="8" s="1"/>
  <c r="X97" i="8" a="1"/>
  <c r="X97" i="8"/>
  <c r="X98" i="8" a="1"/>
  <c r="X98" i="8" s="1"/>
  <c r="X99" i="8" a="1"/>
  <c r="X99" i="8" s="1"/>
  <c r="X100" i="8" a="1"/>
  <c r="X100" i="8"/>
  <c r="X101" i="8" a="1"/>
  <c r="X101" i="8"/>
  <c r="X102" i="8" a="1"/>
  <c r="X102" i="8"/>
  <c r="X103" i="8" a="1"/>
  <c r="X103" i="8" s="1"/>
  <c r="X104" i="8" a="1"/>
  <c r="X104" i="8"/>
  <c r="X105" i="8" a="1"/>
  <c r="X105" i="8"/>
  <c r="X106" i="8" a="1"/>
  <c r="X106" i="8"/>
  <c r="X107" i="8" a="1"/>
  <c r="X107" i="8"/>
  <c r="X108" i="8" a="1"/>
  <c r="X108" i="8" s="1"/>
  <c r="X109" i="8" a="1"/>
  <c r="X109" i="8" s="1"/>
  <c r="X110" i="8" a="1"/>
  <c r="X110" i="8"/>
  <c r="X111" i="8" a="1"/>
  <c r="X111" i="8"/>
  <c r="X112" i="8" a="1"/>
  <c r="X112" i="8"/>
  <c r="X113" i="8" a="1"/>
  <c r="X113" i="8"/>
  <c r="X114" i="8" a="1"/>
  <c r="X114" i="8" s="1"/>
  <c r="X115" i="8" a="1"/>
  <c r="X115" i="8"/>
  <c r="X116" i="8" a="1"/>
  <c r="X116" i="8"/>
  <c r="X117" i="8" a="1"/>
  <c r="X117" i="8"/>
  <c r="X118" i="8" a="1"/>
  <c r="X118" i="8" s="1"/>
  <c r="X119" i="8" a="1"/>
  <c r="X119" i="8" s="1"/>
  <c r="X120" i="8" a="1"/>
  <c r="X120" i="8"/>
  <c r="X121" i="8" a="1"/>
  <c r="X121" i="8"/>
  <c r="X122" i="8" a="1"/>
  <c r="X122" i="8"/>
  <c r="X123" i="8" a="1"/>
  <c r="X123" i="8"/>
  <c r="X124" i="8" a="1"/>
  <c r="X124" i="8"/>
  <c r="X125" i="8" a="1"/>
  <c r="X125" i="8" s="1"/>
  <c r="X126" i="8" a="1"/>
  <c r="X126" i="8"/>
  <c r="X127" i="8" a="1"/>
  <c r="X127" i="8"/>
  <c r="X128" i="8" a="1"/>
  <c r="X128" i="8" s="1"/>
  <c r="X129" i="8" a="1"/>
  <c r="X129" i="8" s="1"/>
  <c r="X130" i="8" a="1"/>
  <c r="X130" i="8"/>
  <c r="X131" i="8" a="1"/>
  <c r="X131" i="8"/>
  <c r="X132" i="8" a="1"/>
  <c r="X132" i="8"/>
  <c r="X133" i="8" a="1"/>
  <c r="X133" i="8"/>
  <c r="X134" i="8" a="1"/>
  <c r="X134" i="8"/>
  <c r="X135" i="8" a="1"/>
  <c r="X135" i="8"/>
  <c r="X136" i="8" a="1"/>
  <c r="X136" i="8" s="1"/>
  <c r="X137" i="8" a="1"/>
  <c r="X137" i="8"/>
  <c r="X138" i="8" a="1"/>
  <c r="X138" i="8" s="1"/>
  <c r="X139" i="8" a="1"/>
  <c r="X139" i="8" s="1"/>
  <c r="X140" i="8" a="1"/>
  <c r="X140" i="8"/>
  <c r="X141" i="8" a="1"/>
  <c r="X141" i="8"/>
  <c r="X142" i="8" a="1"/>
  <c r="X142" i="8"/>
  <c r="X143" i="8" a="1"/>
  <c r="X143" i="8"/>
  <c r="X144" i="8" a="1"/>
  <c r="X144" i="8" s="1"/>
  <c r="X145" i="8" a="1"/>
  <c r="X145" i="8"/>
  <c r="X146" i="8" a="1"/>
  <c r="X146" i="8"/>
  <c r="X147" i="8" a="1"/>
  <c r="X147" i="8"/>
  <c r="X148" i="8" a="1"/>
  <c r="X148" i="8" s="1"/>
  <c r="X149" i="8" a="1"/>
  <c r="X149" i="8" s="1"/>
  <c r="X150" i="8" a="1"/>
  <c r="X150" i="8" s="1"/>
  <c r="X151" i="8" a="1"/>
  <c r="X151" i="8"/>
  <c r="X152" i="8" a="1"/>
  <c r="X152" i="8"/>
  <c r="X153" i="8" a="1"/>
  <c r="X153" i="8" s="1"/>
  <c r="X154" i="8" a="1"/>
  <c r="X154" i="8"/>
  <c r="X155" i="8" a="1"/>
  <c r="X155" i="8"/>
  <c r="X156" i="8" a="1"/>
  <c r="X156" i="8"/>
  <c r="X157" i="8" a="1"/>
  <c r="X157" i="8"/>
  <c r="X158" i="8" a="1"/>
  <c r="X158" i="8" s="1"/>
  <c r="X159" i="8" a="1"/>
  <c r="X159" i="8" s="1"/>
  <c r="X160" i="8" a="1"/>
  <c r="X160" i="8" s="1"/>
  <c r="X161" i="8" a="1"/>
  <c r="X161" i="8" s="1"/>
  <c r="X162" i="8" a="1"/>
  <c r="X162" i="8"/>
  <c r="X163" i="8" a="1"/>
  <c r="X163" i="8"/>
  <c r="X164" i="8" a="1"/>
  <c r="X164" i="8" s="1"/>
  <c r="X165" i="8" a="1"/>
  <c r="X165" i="8"/>
  <c r="X166" i="8" a="1"/>
  <c r="X166" i="8" s="1"/>
  <c r="X167" i="8" a="1"/>
  <c r="X167" i="8"/>
  <c r="X168" i="8" a="1"/>
  <c r="X168" i="8" s="1"/>
  <c r="X169" i="8" a="1"/>
  <c r="X169" i="8" s="1"/>
  <c r="X170" i="8" a="1"/>
  <c r="X170" i="8"/>
  <c r="X171" i="8" a="1"/>
  <c r="X171" i="8" s="1"/>
  <c r="X172" i="8" a="1"/>
  <c r="X172" i="8"/>
  <c r="X173" i="8" a="1"/>
  <c r="X173" i="8"/>
  <c r="X174" i="8" a="1"/>
  <c r="X174" i="8" s="1"/>
  <c r="X175" i="8" a="1"/>
  <c r="X175" i="8"/>
  <c r="X176" i="8" a="1"/>
  <c r="X176" i="8" s="1"/>
  <c r="X177" i="8" a="1"/>
  <c r="X177" i="8"/>
  <c r="X178" i="8" a="1"/>
  <c r="X178" i="8" s="1"/>
  <c r="X179" i="8" a="1"/>
  <c r="X179" i="8" s="1"/>
  <c r="X180" i="8" a="1"/>
  <c r="X180" i="8"/>
  <c r="X181" i="8" a="1"/>
  <c r="X181" i="8"/>
  <c r="X182" i="8" a="1"/>
  <c r="X182" i="8"/>
  <c r="X183" i="8" a="1"/>
  <c r="X183" i="8" s="1"/>
  <c r="X184" i="8" a="1"/>
  <c r="X184" i="8" s="1"/>
  <c r="X185" i="8" a="1"/>
  <c r="X185" i="8"/>
  <c r="X186" i="8" a="1"/>
  <c r="X186" i="8"/>
  <c r="X187" i="8" a="1"/>
  <c r="X187" i="8" s="1"/>
  <c r="X188" i="8" a="1"/>
  <c r="X188" i="8" s="1"/>
  <c r="X189" i="8" a="1"/>
  <c r="X189" i="8" s="1"/>
  <c r="X190" i="8" a="1"/>
  <c r="X190" i="8"/>
  <c r="X191" i="8" a="1"/>
  <c r="X191" i="8"/>
  <c r="X192" i="8" a="1"/>
  <c r="X192" i="8"/>
  <c r="X193" i="8" a="1"/>
  <c r="X193" i="8"/>
  <c r="X194" i="8" a="1"/>
  <c r="X194" i="8" s="1"/>
  <c r="X195" i="8" a="1"/>
  <c r="X195" i="8" s="1"/>
  <c r="X196" i="8" a="1"/>
  <c r="X196" i="8" s="1"/>
  <c r="X197" i="8" a="1"/>
  <c r="X197" i="8"/>
  <c r="X198" i="8" a="1"/>
  <c r="X198" i="8" s="1"/>
  <c r="X199" i="8" a="1"/>
  <c r="X199" i="8" s="1"/>
  <c r="X200" i="8" a="1"/>
  <c r="X200" i="8"/>
  <c r="X201" i="8" a="1"/>
  <c r="X201" i="8"/>
  <c r="X202" i="8" a="1"/>
  <c r="X202" i="8"/>
  <c r="X203" i="8" a="1"/>
  <c r="X203" i="8"/>
  <c r="X204" i="8" a="1"/>
  <c r="X204" i="8"/>
  <c r="X205" i="8" a="1"/>
  <c r="X205" i="8" s="1"/>
  <c r="X206" i="8" a="1"/>
  <c r="X206" i="8"/>
  <c r="X207" i="8" a="1"/>
  <c r="X207" i="8"/>
  <c r="X208" i="8" a="1"/>
  <c r="X208" i="8" s="1"/>
  <c r="X209" i="8" a="1"/>
  <c r="X209" i="8" s="1"/>
  <c r="X210" i="8" a="1"/>
  <c r="X210" i="8"/>
  <c r="X211" i="8" a="1"/>
  <c r="X211" i="8"/>
  <c r="X212" i="8" a="1"/>
  <c r="X212" i="8"/>
  <c r="X213" i="8" a="1"/>
  <c r="X213" i="8"/>
  <c r="X214" i="8" a="1"/>
  <c r="X214" i="8"/>
  <c r="X215" i="8" a="1"/>
  <c r="X215" i="8"/>
  <c r="X216" i="8" a="1"/>
  <c r="X216" i="8" s="1"/>
  <c r="X217" i="8" a="1"/>
  <c r="X217" i="8"/>
  <c r="X218" i="8" a="1"/>
  <c r="X218" i="8" s="1"/>
  <c r="X219" i="8" a="1"/>
  <c r="X219" i="8" s="1"/>
  <c r="X220" i="8" a="1"/>
  <c r="X220" i="8"/>
  <c r="X221" i="8" a="1"/>
  <c r="X221" i="8"/>
  <c r="X222" i="8" a="1"/>
  <c r="X222" i="8"/>
  <c r="X223" i="8" a="1"/>
  <c r="X223" i="8"/>
  <c r="X224" i="8" a="1"/>
  <c r="X224" i="8"/>
  <c r="X225" i="8" a="1"/>
  <c r="X225" i="8"/>
  <c r="X226" i="8" a="1"/>
  <c r="X226" i="8"/>
  <c r="X227" i="8" a="1"/>
  <c r="X227" i="8" s="1"/>
  <c r="X228" i="8" a="1"/>
  <c r="X228" i="8" s="1"/>
  <c r="X229" i="8" a="1"/>
  <c r="X229" i="8" s="1"/>
  <c r="X230" i="8" a="1"/>
  <c r="X230" i="8"/>
  <c r="X231" i="8" a="1"/>
  <c r="X231" i="8"/>
  <c r="X232" i="8" a="1"/>
  <c r="X232" i="8"/>
  <c r="X233" i="8" a="1"/>
  <c r="X233" i="8"/>
  <c r="X234" i="8" a="1"/>
  <c r="X234" i="8"/>
  <c r="X235" i="8" a="1"/>
  <c r="X235" i="8"/>
  <c r="X236" i="8" a="1"/>
  <c r="X236" i="8"/>
  <c r="X237" i="8" a="1"/>
  <c r="X237" i="8"/>
  <c r="X238" i="8" a="1"/>
  <c r="X238" i="8" s="1"/>
  <c r="X239" i="8" a="1"/>
  <c r="X239" i="8" s="1"/>
  <c r="X240" i="8" a="1"/>
  <c r="X240" i="8"/>
  <c r="X241" i="8" a="1"/>
  <c r="X241" i="8"/>
  <c r="X242" i="8" a="1"/>
  <c r="X242" i="8"/>
  <c r="X243" i="8" a="1"/>
  <c r="X243" i="8"/>
  <c r="X244" i="8" a="1"/>
  <c r="X244" i="8" s="1"/>
  <c r="X245" i="8" a="1"/>
  <c r="X245" i="8"/>
  <c r="X246" i="8" a="1"/>
  <c r="X246" i="8"/>
  <c r="X247" i="8" a="1"/>
  <c r="X247" i="8"/>
  <c r="X248" i="8" a="1"/>
  <c r="X248" i="8" s="1"/>
  <c r="X249" i="8" a="1"/>
  <c r="X249" i="8" s="1"/>
  <c r="X250" i="8" a="1"/>
  <c r="X250" i="8"/>
  <c r="X251" i="8" a="1"/>
  <c r="X251" i="8" s="1"/>
  <c r="X252" i="8" a="1"/>
  <c r="X252" i="8" s="1"/>
  <c r="X253" i="8" a="1"/>
  <c r="X253" i="8"/>
  <c r="X254" i="8" a="1"/>
  <c r="X254" i="8"/>
  <c r="X255" i="8" a="1"/>
  <c r="X255" i="8" s="1"/>
  <c r="X256" i="8" a="1"/>
  <c r="X256" i="8"/>
  <c r="X257" i="8" a="1"/>
  <c r="X257" i="8"/>
  <c r="X258" i="8" a="1"/>
  <c r="X258" i="8" s="1"/>
  <c r="X259" i="8" a="1"/>
  <c r="X259" i="8" s="1"/>
  <c r="X260" i="8" a="1"/>
  <c r="X260" i="8"/>
  <c r="X261" i="8" a="1"/>
  <c r="X261" i="8"/>
  <c r="X262" i="8" a="1"/>
  <c r="X262" i="8" s="1"/>
  <c r="X263" i="8" a="1"/>
  <c r="X263" i="8" s="1"/>
  <c r="X264" i="8" a="1"/>
  <c r="X264" i="8"/>
  <c r="X265" i="8" a="1"/>
  <c r="X265" i="8"/>
  <c r="X266" i="8" a="1"/>
  <c r="X266" i="8" s="1"/>
  <c r="X267" i="8" a="1"/>
  <c r="X267" i="8"/>
  <c r="X268" i="8" a="1"/>
  <c r="X268" i="8" s="1"/>
  <c r="X269" i="8" a="1"/>
  <c r="X269" i="8" s="1"/>
  <c r="X270" i="8" a="1"/>
  <c r="X270" i="8"/>
  <c r="X271" i="8" a="1"/>
  <c r="X271" i="8"/>
  <c r="X272" i="8" a="1"/>
  <c r="X272" i="8"/>
  <c r="X273" i="8" a="1"/>
  <c r="X273" i="8" s="1"/>
  <c r="X274" i="8" a="1"/>
  <c r="X274" i="8" s="1"/>
  <c r="X275" i="8" a="1"/>
  <c r="X275" i="8" s="1"/>
  <c r="X276" i="8" a="1"/>
  <c r="X276" i="8"/>
  <c r="X277" i="8" a="1"/>
  <c r="X277" i="8"/>
  <c r="X278" i="8" a="1"/>
  <c r="X278" i="8" s="1"/>
  <c r="X279" i="8" a="1"/>
  <c r="X279" i="8" s="1"/>
  <c r="X280" i="8" a="1"/>
  <c r="X280" i="8"/>
  <c r="X281" i="8" a="1"/>
  <c r="X281" i="8"/>
  <c r="X282" i="8" a="1"/>
  <c r="X282" i="8"/>
  <c r="X283" i="8" a="1"/>
  <c r="X283" i="8"/>
  <c r="X284" i="8" a="1"/>
  <c r="X284" i="8"/>
  <c r="X285" i="8" a="1"/>
  <c r="X285" i="8" s="1"/>
  <c r="X286" i="8" a="1"/>
  <c r="X286" i="8" s="1"/>
  <c r="X287" i="8" a="1"/>
  <c r="X287" i="8"/>
  <c r="X288" i="8" a="1"/>
  <c r="X288" i="8" s="1"/>
  <c r="X289" i="8" a="1"/>
  <c r="X289" i="8" s="1"/>
  <c r="X290" i="8" a="1"/>
  <c r="X290" i="8" s="1"/>
  <c r="X291" i="8" a="1"/>
  <c r="X291" i="8"/>
  <c r="X292" i="8" a="1"/>
  <c r="X292" i="8"/>
  <c r="X293" i="8" a="1"/>
  <c r="X293" i="8"/>
  <c r="X294" i="8" a="1"/>
  <c r="X294" i="8"/>
  <c r="X295" i="8" a="1"/>
  <c r="X295" i="8"/>
  <c r="X296" i="8" a="1"/>
  <c r="X296" i="8" s="1"/>
  <c r="X297" i="8" a="1"/>
  <c r="X297" i="8"/>
  <c r="X298" i="8" a="1"/>
  <c r="X298" i="8" s="1"/>
  <c r="X299" i="8" a="1"/>
  <c r="X299" i="8" s="1"/>
  <c r="X300" i="8" a="1"/>
  <c r="X300" i="8"/>
  <c r="X301" i="8" a="1"/>
  <c r="X301" i="8"/>
  <c r="X302" i="8" a="1"/>
  <c r="X302" i="8"/>
  <c r="X303" i="8" a="1"/>
  <c r="X303" i="8"/>
  <c r="X304" i="8" a="1"/>
  <c r="X304" i="8"/>
  <c r="X305" i="8" a="1"/>
  <c r="X305" i="8"/>
  <c r="X306" i="8" a="1"/>
  <c r="X306" i="8"/>
  <c r="X307" i="8" a="1"/>
  <c r="X307" i="8" s="1"/>
  <c r="X308" i="8" a="1"/>
  <c r="X308" i="8" s="1"/>
  <c r="X309" i="8" a="1"/>
  <c r="X309" i="8" s="1"/>
  <c r="X310" i="8" a="1"/>
  <c r="X310" i="8"/>
  <c r="X311" i="8" a="1"/>
  <c r="X311" i="8"/>
  <c r="X312" i="8" a="1"/>
  <c r="X312" i="8"/>
  <c r="X313" i="8" a="1"/>
  <c r="X313" i="8"/>
  <c r="X314" i="8" a="1"/>
  <c r="X314" i="8"/>
  <c r="X315" i="8" a="1"/>
  <c r="X315" i="8"/>
  <c r="X316" i="8" a="1"/>
  <c r="X316" i="8"/>
  <c r="Y2" i="8"/>
  <c r="Y3" i="8"/>
  <c r="Y4" i="8"/>
  <c r="Y5" i="8"/>
  <c r="Y6" i="8"/>
  <c r="Y7" i="8"/>
  <c r="Y8" i="8"/>
  <c r="Y9" i="8"/>
  <c r="Y10" i="8"/>
  <c r="Y11" i="8"/>
  <c r="Y12" i="8"/>
  <c r="Y13" i="8"/>
  <c r="Y14" i="8"/>
  <c r="Y15" i="8"/>
  <c r="Y16" i="8"/>
  <c r="Y17" i="8"/>
  <c r="Y18" i="8"/>
  <c r="Y19" i="8"/>
  <c r="Y20" i="8"/>
  <c r="Y21" i="8"/>
  <c r="Y22" i="8"/>
  <c r="Y23" i="8"/>
  <c r="Y24" i="8"/>
  <c r="Y25" i="8"/>
  <c r="Y26" i="8"/>
  <c r="Y27" i="8"/>
  <c r="Y28" i="8"/>
  <c r="Y29" i="8"/>
  <c r="Y30" i="8"/>
  <c r="Y31" i="8"/>
  <c r="Y32" i="8"/>
  <c r="Y33" i="8"/>
  <c r="Y34" i="8"/>
  <c r="Y35" i="8"/>
  <c r="Y36" i="8"/>
  <c r="Y37" i="8"/>
  <c r="Y38" i="8"/>
  <c r="Y39" i="8"/>
  <c r="Y40" i="8"/>
  <c r="Y41" i="8"/>
  <c r="Y42" i="8"/>
  <c r="Y43" i="8"/>
  <c r="Y44" i="8"/>
  <c r="Y45" i="8"/>
  <c r="Y46" i="8"/>
  <c r="Y47" i="8"/>
  <c r="Y48" i="8"/>
  <c r="Y49" i="8"/>
  <c r="Y50" i="8"/>
  <c r="Y51" i="8"/>
  <c r="Y52" i="8"/>
  <c r="Y53" i="8"/>
  <c r="Y54" i="8"/>
  <c r="Y55" i="8"/>
  <c r="Y56" i="8"/>
  <c r="Y57" i="8"/>
  <c r="Y58" i="8"/>
  <c r="Y59" i="8"/>
  <c r="Y60" i="8"/>
  <c r="Y61" i="8"/>
  <c r="Y62" i="8"/>
  <c r="Y63" i="8"/>
  <c r="Y64" i="8"/>
  <c r="Y65" i="8"/>
  <c r="Y66" i="8"/>
  <c r="Y67" i="8"/>
  <c r="Y68" i="8"/>
  <c r="Y69" i="8"/>
  <c r="Y70" i="8"/>
  <c r="Y71" i="8"/>
  <c r="Y72" i="8"/>
  <c r="Y73" i="8"/>
  <c r="Y74" i="8"/>
  <c r="Y75" i="8"/>
  <c r="Y76" i="8"/>
  <c r="Y77" i="8"/>
  <c r="Y78" i="8"/>
  <c r="Y79" i="8"/>
  <c r="Y80" i="8"/>
  <c r="Y81" i="8"/>
  <c r="Y82" i="8"/>
  <c r="Y83" i="8"/>
  <c r="Y84" i="8"/>
  <c r="Y85" i="8"/>
  <c r="Y86" i="8"/>
  <c r="Y87" i="8"/>
  <c r="Y88" i="8"/>
  <c r="Y89" i="8"/>
  <c r="Y90" i="8"/>
  <c r="Y91" i="8"/>
  <c r="Y92" i="8"/>
  <c r="Y93" i="8"/>
  <c r="Y94" i="8"/>
  <c r="Y95" i="8"/>
  <c r="Y96" i="8"/>
  <c r="Y97" i="8"/>
  <c r="Y98" i="8"/>
  <c r="Y99" i="8"/>
  <c r="Y100" i="8"/>
  <c r="Y101" i="8"/>
  <c r="Y102" i="8"/>
  <c r="Y103" i="8"/>
  <c r="Y104" i="8"/>
  <c r="Y105" i="8"/>
  <c r="Y106" i="8"/>
  <c r="Y107" i="8"/>
  <c r="Y108" i="8"/>
  <c r="Y109" i="8"/>
  <c r="Y110" i="8"/>
  <c r="Y111" i="8"/>
  <c r="Y112" i="8"/>
  <c r="Y113" i="8"/>
  <c r="Y114" i="8"/>
  <c r="Y115" i="8"/>
  <c r="Y116" i="8"/>
  <c r="Y117" i="8"/>
  <c r="Y118" i="8"/>
  <c r="Y119" i="8"/>
  <c r="Y120" i="8"/>
  <c r="Y121" i="8"/>
  <c r="Y122" i="8"/>
  <c r="Y123" i="8"/>
  <c r="Y124" i="8"/>
  <c r="Y125" i="8"/>
  <c r="Y126" i="8"/>
  <c r="Y127" i="8"/>
  <c r="Y128" i="8"/>
  <c r="Y129" i="8"/>
  <c r="Y130" i="8"/>
  <c r="Y131" i="8"/>
  <c r="Y132" i="8"/>
  <c r="Y133" i="8"/>
  <c r="Y134" i="8"/>
  <c r="Y135" i="8"/>
  <c r="Y136" i="8"/>
  <c r="Y137" i="8"/>
  <c r="Y138" i="8"/>
  <c r="Y139" i="8"/>
  <c r="Y140" i="8"/>
  <c r="Y141" i="8"/>
  <c r="Y142" i="8"/>
  <c r="Y143" i="8"/>
  <c r="Y144" i="8"/>
  <c r="Y145" i="8"/>
  <c r="Y146" i="8"/>
  <c r="Y147" i="8"/>
  <c r="Y148" i="8"/>
  <c r="Y149" i="8"/>
  <c r="Y150" i="8"/>
  <c r="Y151" i="8"/>
  <c r="Y152" i="8"/>
  <c r="Y153" i="8"/>
  <c r="Y154" i="8"/>
  <c r="Y155" i="8"/>
  <c r="Y156" i="8"/>
  <c r="Y157" i="8"/>
  <c r="Y158" i="8"/>
  <c r="Y159" i="8"/>
  <c r="Y160" i="8"/>
  <c r="Y161" i="8"/>
  <c r="Y162" i="8"/>
  <c r="Y163" i="8"/>
  <c r="Y164" i="8"/>
  <c r="Y165" i="8"/>
  <c r="Y166" i="8"/>
  <c r="Y167" i="8"/>
  <c r="Y168" i="8"/>
  <c r="Y169" i="8"/>
  <c r="Y170" i="8"/>
  <c r="Y171" i="8"/>
  <c r="Y172" i="8"/>
  <c r="Y173" i="8"/>
  <c r="Y174" i="8"/>
  <c r="Y175" i="8"/>
  <c r="Y176" i="8"/>
  <c r="Y177" i="8"/>
  <c r="Y178" i="8"/>
  <c r="Y179" i="8"/>
  <c r="Y180" i="8"/>
  <c r="Y181" i="8"/>
  <c r="Y182" i="8"/>
  <c r="Y183" i="8"/>
  <c r="Y184" i="8"/>
  <c r="Y185" i="8"/>
  <c r="Y186" i="8"/>
  <c r="Y187" i="8"/>
  <c r="Y188" i="8"/>
  <c r="Y189" i="8"/>
  <c r="Y190" i="8"/>
  <c r="Y191" i="8"/>
  <c r="Y192" i="8"/>
  <c r="Y193" i="8"/>
  <c r="Y194" i="8"/>
  <c r="Y195" i="8"/>
  <c r="Y196" i="8"/>
  <c r="Y197" i="8"/>
  <c r="Y198" i="8"/>
  <c r="Y199" i="8"/>
  <c r="Y200" i="8"/>
  <c r="Y201" i="8"/>
  <c r="Y202" i="8"/>
  <c r="Y203" i="8"/>
  <c r="Y204" i="8"/>
  <c r="Y205" i="8"/>
  <c r="Y206" i="8"/>
  <c r="Y207" i="8"/>
  <c r="Y208" i="8"/>
  <c r="Y209" i="8"/>
  <c r="Y210" i="8"/>
  <c r="Y211" i="8"/>
  <c r="Y212" i="8"/>
  <c r="Y213" i="8"/>
  <c r="Y214" i="8"/>
  <c r="Y215" i="8"/>
  <c r="Y216" i="8"/>
  <c r="Y217" i="8"/>
  <c r="Y218" i="8"/>
  <c r="Y219" i="8"/>
  <c r="Y220" i="8"/>
  <c r="Y221" i="8"/>
  <c r="Y222" i="8"/>
  <c r="Y223" i="8"/>
  <c r="Y224" i="8"/>
  <c r="Y225" i="8"/>
  <c r="Y226" i="8"/>
  <c r="Y227" i="8"/>
  <c r="Y228" i="8"/>
  <c r="Y229" i="8"/>
  <c r="Y230" i="8"/>
  <c r="Y231" i="8"/>
  <c r="Y232" i="8"/>
  <c r="Y233" i="8"/>
  <c r="Y234" i="8"/>
  <c r="Y235" i="8"/>
  <c r="Y236" i="8"/>
  <c r="Y237" i="8"/>
  <c r="Y238" i="8"/>
  <c r="Y239" i="8"/>
  <c r="Y240" i="8"/>
  <c r="Y241" i="8"/>
  <c r="Y242" i="8"/>
  <c r="Y243" i="8"/>
  <c r="Y244" i="8"/>
  <c r="Y245" i="8"/>
  <c r="Y246" i="8"/>
  <c r="Y247" i="8"/>
  <c r="Y248" i="8"/>
  <c r="Y249" i="8"/>
  <c r="Y250" i="8"/>
  <c r="Y251" i="8"/>
  <c r="Y252" i="8"/>
  <c r="Y253" i="8"/>
  <c r="Y254" i="8"/>
  <c r="Y255" i="8"/>
  <c r="Y256" i="8"/>
  <c r="Y257" i="8"/>
  <c r="Y258" i="8"/>
  <c r="Y259" i="8"/>
  <c r="Y260" i="8"/>
  <c r="Y261" i="8"/>
  <c r="Y262" i="8"/>
  <c r="Y263" i="8"/>
  <c r="Y264" i="8"/>
  <c r="Y265" i="8"/>
  <c r="Y266" i="8"/>
  <c r="Y267" i="8"/>
  <c r="Y268" i="8"/>
  <c r="Y269" i="8"/>
  <c r="Y270" i="8"/>
  <c r="Y271" i="8"/>
  <c r="Y272" i="8"/>
  <c r="Y273" i="8"/>
  <c r="Y274" i="8"/>
  <c r="Y275" i="8"/>
  <c r="Y276" i="8"/>
  <c r="Y277" i="8"/>
  <c r="Y278" i="8"/>
  <c r="Y279" i="8"/>
  <c r="Y280" i="8"/>
  <c r="Y281" i="8"/>
  <c r="Y282" i="8"/>
  <c r="Y283" i="8"/>
  <c r="Y284" i="8"/>
  <c r="Y285" i="8"/>
  <c r="Y286" i="8"/>
  <c r="Y287" i="8"/>
  <c r="Y288" i="8"/>
  <c r="Y289" i="8"/>
  <c r="Y290" i="8"/>
  <c r="Y291" i="8"/>
  <c r="Y292" i="8"/>
  <c r="Y293" i="8"/>
  <c r="Y294" i="8"/>
  <c r="Y295" i="8"/>
  <c r="Y296" i="8"/>
  <c r="Y297" i="8"/>
  <c r="Y298" i="8"/>
  <c r="Y299" i="8"/>
  <c r="Y300" i="8"/>
  <c r="Y301" i="8"/>
  <c r="Y302" i="8"/>
  <c r="Y303" i="8"/>
  <c r="Y304" i="8"/>
  <c r="Y305" i="8"/>
  <c r="Y306" i="8"/>
  <c r="Y307" i="8"/>
  <c r="Y308" i="8"/>
  <c r="Y309" i="8"/>
  <c r="Y310" i="8"/>
  <c r="Y311" i="8"/>
  <c r="Y312" i="8"/>
  <c r="Y313" i="8"/>
  <c r="Y314" i="8"/>
  <c r="Y315" i="8"/>
  <c r="Y316" i="8"/>
  <c r="Z2" i="8"/>
  <c r="Z3" i="8"/>
  <c r="Z4" i="8"/>
  <c r="Z5" i="8"/>
  <c r="Z6" i="8"/>
  <c r="Z7" i="8"/>
  <c r="Z8" i="8"/>
  <c r="Z9" i="8"/>
  <c r="Z10" i="8"/>
  <c r="Z11" i="8"/>
  <c r="Z12" i="8"/>
  <c r="Z13" i="8"/>
  <c r="Z14" i="8"/>
  <c r="Z15" i="8"/>
  <c r="Z16" i="8"/>
  <c r="Z17" i="8"/>
  <c r="Z18" i="8"/>
  <c r="Z19" i="8"/>
  <c r="Z20" i="8"/>
  <c r="Z21" i="8"/>
  <c r="Z22" i="8"/>
  <c r="Z23" i="8"/>
  <c r="Z24" i="8"/>
  <c r="Z25" i="8"/>
  <c r="Z26" i="8"/>
  <c r="Z27" i="8"/>
  <c r="Z28" i="8"/>
  <c r="Z29" i="8"/>
  <c r="Z30" i="8"/>
  <c r="Z31" i="8"/>
  <c r="Z32" i="8"/>
  <c r="Z33" i="8"/>
  <c r="Z34" i="8"/>
  <c r="Z35" i="8"/>
  <c r="Z36" i="8"/>
  <c r="Z37" i="8"/>
  <c r="Z38" i="8"/>
  <c r="Z39" i="8"/>
  <c r="Z40" i="8"/>
  <c r="Z41" i="8"/>
  <c r="Z42" i="8"/>
  <c r="Z43" i="8"/>
  <c r="Z44" i="8"/>
  <c r="Z45" i="8"/>
  <c r="Z46" i="8"/>
  <c r="Z47" i="8"/>
  <c r="Z48" i="8"/>
  <c r="Z49" i="8"/>
  <c r="Z50" i="8"/>
  <c r="Z51" i="8"/>
  <c r="Z52" i="8"/>
  <c r="Z53" i="8"/>
  <c r="Z54" i="8"/>
  <c r="Z55" i="8"/>
  <c r="Z56" i="8"/>
  <c r="Z57" i="8"/>
  <c r="Z58" i="8"/>
  <c r="Z59" i="8"/>
  <c r="Z60" i="8"/>
  <c r="Z61" i="8"/>
  <c r="Z62" i="8"/>
  <c r="Z63" i="8"/>
  <c r="Z64" i="8"/>
  <c r="Z65" i="8"/>
  <c r="Z66" i="8"/>
  <c r="Z67" i="8"/>
  <c r="Z68" i="8"/>
  <c r="Z69" i="8"/>
  <c r="Z70" i="8"/>
  <c r="Z71" i="8"/>
  <c r="Z72" i="8"/>
  <c r="Z73" i="8"/>
  <c r="Z74" i="8"/>
  <c r="Z75" i="8"/>
  <c r="Z76" i="8"/>
  <c r="Z77" i="8"/>
  <c r="Z78" i="8"/>
  <c r="Z79" i="8"/>
  <c r="Z80" i="8"/>
  <c r="Z81" i="8"/>
  <c r="Z82" i="8"/>
  <c r="Z83" i="8"/>
  <c r="Z84" i="8"/>
  <c r="Z85" i="8"/>
  <c r="Z86" i="8"/>
  <c r="Z87" i="8"/>
  <c r="Z88" i="8"/>
  <c r="Z89" i="8"/>
  <c r="Z90" i="8"/>
  <c r="Z91" i="8"/>
  <c r="Z92" i="8"/>
  <c r="Z93" i="8"/>
  <c r="Z94" i="8"/>
  <c r="Z95" i="8"/>
  <c r="Z96" i="8"/>
  <c r="Z97" i="8"/>
  <c r="Z98" i="8"/>
  <c r="Z99" i="8"/>
  <c r="Z100" i="8"/>
  <c r="Z101" i="8"/>
  <c r="Z102" i="8"/>
  <c r="Z103" i="8"/>
  <c r="Z104" i="8"/>
  <c r="Z105" i="8"/>
  <c r="Z106" i="8"/>
  <c r="Z107" i="8"/>
  <c r="Z108" i="8"/>
  <c r="Z109" i="8"/>
  <c r="Z110" i="8"/>
  <c r="Z111" i="8"/>
  <c r="Z112" i="8"/>
  <c r="Z113" i="8"/>
  <c r="Z114" i="8"/>
  <c r="Z115" i="8"/>
  <c r="Z116" i="8"/>
  <c r="Z117" i="8"/>
  <c r="Z118" i="8"/>
  <c r="Z119" i="8"/>
  <c r="Z120" i="8"/>
  <c r="Z121" i="8"/>
  <c r="Z122" i="8"/>
  <c r="Z123" i="8"/>
  <c r="Z124" i="8"/>
  <c r="Z125" i="8"/>
  <c r="Z126" i="8"/>
  <c r="Z127" i="8"/>
  <c r="Z128" i="8"/>
  <c r="Z129" i="8"/>
  <c r="Z130" i="8"/>
  <c r="Z131" i="8"/>
  <c r="Z132" i="8"/>
  <c r="Z133" i="8"/>
  <c r="Z134" i="8"/>
  <c r="Z135" i="8"/>
  <c r="Z136" i="8"/>
  <c r="Z137" i="8"/>
  <c r="Z138" i="8"/>
  <c r="Z139" i="8"/>
  <c r="Z140" i="8"/>
  <c r="Z141" i="8"/>
  <c r="Z142" i="8"/>
  <c r="Z143" i="8"/>
  <c r="Z144" i="8"/>
  <c r="Z145" i="8"/>
  <c r="Z146" i="8"/>
  <c r="Z147" i="8"/>
  <c r="Z148" i="8"/>
  <c r="Z149" i="8"/>
  <c r="Z150" i="8"/>
  <c r="Z151" i="8"/>
  <c r="Z152" i="8"/>
  <c r="Z153" i="8"/>
  <c r="Z154" i="8"/>
  <c r="Z155" i="8"/>
  <c r="Z156" i="8"/>
  <c r="Z157" i="8"/>
  <c r="Z158" i="8"/>
  <c r="Z159" i="8"/>
  <c r="Z160" i="8"/>
  <c r="Z161" i="8"/>
  <c r="Z162" i="8"/>
  <c r="Z163" i="8"/>
  <c r="Z164" i="8"/>
  <c r="Z165" i="8"/>
  <c r="Z166" i="8"/>
  <c r="Z167" i="8"/>
  <c r="Z168" i="8"/>
  <c r="Z169" i="8"/>
  <c r="Z170" i="8"/>
  <c r="Z171" i="8"/>
  <c r="Z172" i="8"/>
  <c r="Z173" i="8"/>
  <c r="Z174" i="8"/>
  <c r="Z175" i="8"/>
  <c r="Z176" i="8"/>
  <c r="Z177" i="8"/>
  <c r="Z178" i="8"/>
  <c r="Z179" i="8"/>
  <c r="Z180" i="8"/>
  <c r="Z181" i="8"/>
  <c r="Z182" i="8"/>
  <c r="Z183" i="8"/>
  <c r="Z184" i="8"/>
  <c r="Z185" i="8"/>
  <c r="Z186" i="8"/>
  <c r="Z187" i="8"/>
  <c r="Z188" i="8"/>
  <c r="Z189" i="8"/>
  <c r="Z190" i="8"/>
  <c r="Z191" i="8"/>
  <c r="Z192" i="8"/>
  <c r="Z193" i="8"/>
  <c r="Z194" i="8"/>
  <c r="Z195" i="8"/>
  <c r="Z196" i="8"/>
  <c r="Z197" i="8"/>
  <c r="Z198" i="8"/>
  <c r="Z199" i="8"/>
  <c r="Z200" i="8"/>
  <c r="Z201" i="8"/>
  <c r="Z202" i="8"/>
  <c r="Z203" i="8"/>
  <c r="Z204" i="8"/>
  <c r="Z205" i="8"/>
  <c r="Z206" i="8"/>
  <c r="Z207" i="8"/>
  <c r="Z208" i="8"/>
  <c r="Z209" i="8"/>
  <c r="Z210" i="8"/>
  <c r="Z211" i="8"/>
  <c r="Z212" i="8"/>
  <c r="Z213" i="8"/>
  <c r="Z214" i="8"/>
  <c r="Z215" i="8"/>
  <c r="Z216" i="8"/>
  <c r="Z217" i="8"/>
  <c r="Z218" i="8"/>
  <c r="Z219" i="8"/>
  <c r="Z220" i="8"/>
  <c r="Z221" i="8"/>
  <c r="Z222" i="8"/>
  <c r="Z223" i="8"/>
  <c r="Z224" i="8"/>
  <c r="Z225" i="8"/>
  <c r="Z226" i="8"/>
  <c r="Z227" i="8"/>
  <c r="Z228" i="8"/>
  <c r="Z229" i="8"/>
  <c r="Z230" i="8"/>
  <c r="Z231" i="8"/>
  <c r="Z232" i="8"/>
  <c r="Z233" i="8"/>
  <c r="Z234" i="8"/>
  <c r="Z235" i="8"/>
  <c r="Z236" i="8"/>
  <c r="Z237" i="8"/>
  <c r="Z238" i="8"/>
  <c r="Z239" i="8"/>
  <c r="Z240" i="8"/>
  <c r="Z241" i="8"/>
  <c r="Z242" i="8"/>
  <c r="Z243" i="8"/>
  <c r="Z244" i="8"/>
  <c r="Z245" i="8"/>
  <c r="Z246" i="8"/>
  <c r="Z247" i="8"/>
  <c r="Z248" i="8"/>
  <c r="Z249" i="8"/>
  <c r="Z250" i="8"/>
  <c r="Z251" i="8"/>
  <c r="Z252" i="8"/>
  <c r="Z253" i="8"/>
  <c r="Z254" i="8"/>
  <c r="Z255" i="8"/>
  <c r="Z256" i="8"/>
  <c r="Z257" i="8"/>
  <c r="Z258" i="8"/>
  <c r="Z259" i="8"/>
  <c r="Z260" i="8"/>
  <c r="Z261" i="8"/>
  <c r="Z262" i="8"/>
  <c r="Z263" i="8"/>
  <c r="Z264" i="8"/>
  <c r="Z265" i="8"/>
  <c r="Z266" i="8"/>
  <c r="Z267" i="8"/>
  <c r="Z268" i="8"/>
  <c r="Z269" i="8"/>
  <c r="Z270" i="8"/>
  <c r="Z271" i="8"/>
  <c r="Z272" i="8"/>
  <c r="Z273" i="8"/>
  <c r="Z274" i="8"/>
  <c r="Z275" i="8"/>
  <c r="Z276" i="8"/>
  <c r="Z277" i="8"/>
  <c r="Z278" i="8"/>
  <c r="Z279" i="8"/>
  <c r="Z280" i="8"/>
  <c r="Z281" i="8"/>
  <c r="Z282" i="8"/>
  <c r="Z283" i="8"/>
  <c r="Z284" i="8"/>
  <c r="Z285" i="8"/>
  <c r="Z286" i="8"/>
  <c r="Z287" i="8"/>
  <c r="Z288" i="8"/>
  <c r="Z289" i="8"/>
  <c r="Z290" i="8"/>
  <c r="Z291" i="8"/>
  <c r="Z292" i="8"/>
  <c r="Z293" i="8"/>
  <c r="Z294" i="8"/>
  <c r="Z295" i="8"/>
  <c r="Z296" i="8"/>
  <c r="Z297" i="8"/>
  <c r="Z298" i="8"/>
  <c r="Z299" i="8"/>
  <c r="Z300" i="8"/>
  <c r="Z301" i="8"/>
  <c r="Z302" i="8"/>
  <c r="Z303" i="8"/>
  <c r="Z304" i="8"/>
  <c r="Z305" i="8"/>
  <c r="Z306" i="8"/>
  <c r="Z307" i="8"/>
  <c r="Z308" i="8"/>
  <c r="Z309" i="8"/>
  <c r="Z310" i="8"/>
  <c r="Z311" i="8"/>
  <c r="Z312" i="8"/>
  <c r="Z313" i="8"/>
  <c r="Z314" i="8"/>
  <c r="Z315" i="8"/>
  <c r="Z316" i="8"/>
  <c r="F3" i="11"/>
  <c r="F4" i="11"/>
  <c r="F2" i="11"/>
  <c r="E3" i="11"/>
  <c r="E4" i="11"/>
  <c r="E2" i="11"/>
  <c r="C3" i="11"/>
  <c r="C4" i="11"/>
  <c r="C5" i="11"/>
  <c r="C6" i="11"/>
  <c r="C7" i="11"/>
  <c r="C8" i="11"/>
  <c r="C2" i="11"/>
  <c r="B3" i="11"/>
  <c r="B4" i="11"/>
  <c r="B5" i="11"/>
  <c r="B6" i="11"/>
  <c r="B7" i="11"/>
  <c r="B8" i="11"/>
  <c r="B2" i="11"/>
  <c r="K3" i="7"/>
  <c r="B3" i="7"/>
  <c r="H3" i="7"/>
  <c r="E3"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BCF28F-E7B8-4AEE-AF86-73D2948BAFE6}" keepAlive="1" name="Query - tbl_Employees" description="Connection to the 'tbl_Employees' query in the workbook." type="5" refreshedVersion="8" background="1" saveData="1">
    <dbPr connection="Provider=Microsoft.Mashup.OleDb.1;Data Source=$Workbook$;Location=tbl_Employees;Extended Properties=&quot;&quot;" command="SELECT * FROM [tbl_Employees]"/>
  </connection>
  <connection id="2" xr16:uid="{B2ECF0CE-6B36-4C24-8EDA-2753A788E440}" keepAlive="1" name="Query - tbl_Projects" description="Connection to the 'tbl_Projects' query in the workbook." type="5" refreshedVersion="8" background="1" saveData="1">
    <dbPr connection="Provider=Microsoft.Mashup.OleDb.1;Data Source=$Workbook$;Location=tbl_Projects;Extended Properties=&quot;&quot;" command="SELECT * FROM [tbl_Projects]"/>
  </connection>
  <connection id="3" xr16:uid="{93A44E03-05F1-43E5-B1E1-73585EC21927}" keepAlive="1" name="Query - tbl_Tasks_Clean" description="Connection to the 'tbl_Tasks_Clean' query in the workbook." type="5" refreshedVersion="8" background="1" saveData="1">
    <dbPr connection="Provider=Microsoft.Mashup.OleDb.1;Data Source=$Workbook$;Location=tbl_Tasks_Clean;Extended Properties=&quot;&quot;" command="SELECT * FROM [tbl_Tasks_Clean]"/>
  </connection>
  <connection id="4" xr16:uid="{DB279DE2-D315-47B5-A3AD-5F32E5D3C18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12DB7843-4FF3-491F-AB15-B092F3CBEC1F}" name="WorksheetConnection_PM_Analytics_Practice_Project work.xlsx!Table3_1" type="102" refreshedVersion="8" minRefreshableVersion="5">
    <extLst>
      <ext xmlns:x15="http://schemas.microsoft.com/office/spreadsheetml/2010/11/main" uri="{DE250136-89BD-433C-8126-D09CA5730AF9}">
        <x15:connection id="Table3_1">
          <x15:rangePr sourceName="_xlcn.WorksheetConnection_PM_Analytics_Practice_Projectwork.xlsxTable3_11"/>
        </x15:connection>
      </ext>
    </extLst>
  </connection>
  <connection id="6" xr16:uid="{4F30E679-0739-4463-9374-F5A258AF5C0A}" name="WorksheetConnection_PM_Analytics_Practice_Project work.xlsx!tbl_Employees_1" type="102" refreshedVersion="8" minRefreshableVersion="5">
    <extLst>
      <ext xmlns:x15="http://schemas.microsoft.com/office/spreadsheetml/2010/11/main" uri="{DE250136-89BD-433C-8126-D09CA5730AF9}">
        <x15:connection id="tbl_Employees_1">
          <x15:rangePr sourceName="_xlcn.WorksheetConnection_PM_Analytics_Practice_Projectwork.xlsxtbl_Employees_11"/>
        </x15:connection>
      </ext>
    </extLst>
  </connection>
  <connection id="7" xr16:uid="{3D9DDF8C-E086-4696-AFB4-56AC5EA19A10}" name="WorksheetConnection_PM_Analytics_Practice_Project work.xlsx!tbl_Projects_1" type="102" refreshedVersion="8" minRefreshableVersion="5">
    <extLst>
      <ext xmlns:x15="http://schemas.microsoft.com/office/spreadsheetml/2010/11/main" uri="{DE250136-89BD-433C-8126-D09CA5730AF9}">
        <x15:connection id="tbl_Projects_1">
          <x15:rangePr sourceName="_xlcn.WorksheetConnection_PM_Analytics_Practice_Projectwork.xlsxtbl_Projects_1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<sst xmlns="http://schemas.openxmlformats.org/spreadsheetml/2006/main" count="7560" uniqueCount="1482">
  <si>
    <t>Project Management Analytics — Practice Project</t>
  </si>
  <si>
    <t>Scenario</t>
  </si>
  <si>
    <t>You work as a Data Analyst supporting the PMO (Project Management Office) of a company running 15 parallel projects. Task-level data is exported from the old tracking tool and is messy: inconsistent text casing, extra spaces, mixed date formats, duplicate rows, and missing values. Your job is to clean the data, model it properly, build the analysis with formulas and PivotTables, then create a Power Pivot data model with DAX measures and present the results in a one-page interactive dashboard.</t>
  </si>
  <si>
    <t>Workbook Contents</t>
  </si>
  <si>
    <t>Instructions</t>
  </si>
  <si>
    <t>This sheet — the full task brief and deliverables checklist.</t>
  </si>
  <si>
    <t>Projects</t>
  </si>
  <si>
    <t>Master list of 15 projects (source table for Power Query / Power Pivot).</t>
  </si>
  <si>
    <t>Employees</t>
  </si>
  <si>
    <t>Master list of staff with department and hourly rate (source table).</t>
  </si>
  <si>
    <t>Tasks_RawData</t>
  </si>
  <si>
    <t>Messy raw task export — the main table you will clean in Power Query.</t>
  </si>
  <si>
    <t>PQ_Output (you create)</t>
  </si>
  <si>
    <t>Destination sheet/table for your cleaned Power Query output.</t>
  </si>
  <si>
    <t>PivotTables (you create)</t>
  </si>
  <si>
    <t>Sheet(s) for your PivotTable analysis.</t>
  </si>
  <si>
    <t>Dashboard (you create)</t>
  </si>
  <si>
    <t>Final one-page interactive dashboard.</t>
  </si>
  <si>
    <t>PART 1 — POWER QUERY (Data Cleaning &amp; Shaping)</t>
  </si>
  <si>
    <t>•</t>
  </si>
  <si>
    <t>Import the Tasks_RawData table into Power Query (Data &gt; Get Data &gt; From Table/Range).</t>
  </si>
  <si>
    <t>Remove exact duplicate rows.</t>
  </si>
  <si>
    <t>Remove the 4 placeholder/test rows (Task_Name = "TEST - ignore").</t>
  </si>
  <si>
    <t>Trim and Clean all text columns (remove leading/trailing/extra spaces).</t>
  </si>
  <si>
    <t>Standardize the Department column to exactly: IT, Operations, Finance, Marketing, HR, Procurement, Quality Assurance (fix casing/abbreviations such as "it", "I.T", "Ops", "QA").</t>
  </si>
  <si>
    <t>Standardize the Status column to exactly: Not Started, In Progress, Completed, Delayed (fix casing and synonyms such as "Pending", "Ongoing", "Done", "Behind Schedule").</t>
  </si>
  <si>
    <t>Standardize the Priority column to exactly: High, Medium, Low (fix casing and single-letter codes H/M/L).</t>
  </si>
  <si>
    <t>Convert Start_Date, Planned_End_Date and Actual_End_Date to a proper Date data type (the raw export mixes several date text formats).</t>
  </si>
  <si>
    <t>Handle blanks: replace missing Planned_Cost / Actual_Cost with 0; replace missing Priority with "Not Set"; replace missing Assigned_To with "Unassigned".</t>
  </si>
  <si>
    <t>Add a calculated column Planned_Duration_Days = Planned_End_Date − Start_Date.</t>
  </si>
  <si>
    <t>Add a calculated column Delay_Days = Actual_End_Date − Planned_End_Date (blank/0 if not completed).</t>
  </si>
  <si>
    <t>Merge (left outer join) with the Projects table on Project_ID to bring in Project_Manager, Client and Budget.</t>
  </si>
  <si>
    <t>Merge (left outer join) with the Employees table on Assigned_To = Employee_Name to bring in Employee's Department (rename to Employee_Department) and Hourly_Rate.</t>
  </si>
  <si>
    <t>Set correct data types on every column (text, whole number, decimal, date) before closing the query.</t>
  </si>
  <si>
    <t>Load the cleaned result to a new sheet as an Excel Table named tbl_Tasks_Clean, AND load a copy to the Data Model (checkbox in the Load To dialog) for Part 4.</t>
  </si>
  <si>
    <t>PART 2 — EXCEL FUNCTIONS</t>
  </si>
  <si>
    <t>Work on your cleaned table (tbl_Tasks_Clean). Add the following helper columns using formulas (not hardcoded values):</t>
  </si>
  <si>
    <t>Cost_Variance = Actual_Cost − Planned_Cost.</t>
  </si>
  <si>
    <t>Cost_Variance_% = Cost_Variance / Planned_Cost, using IFERROR to handle any Planned_Cost = 0.</t>
  </si>
  <si>
    <t>On_Time_Flag: use IF to return "On Time" when Status = "Completed" and Delay_Days &lt;= 0, "Late" when Status = "Completed" and Delay_Days &gt; 0, and "N/A" otherwise.</t>
  </si>
  <si>
    <t>Task_Age_Category: use IFS (or nested IF) to bucket Planned_Duration_Days into "Short (&lt;=7 days)", "Medium (8-20 days)", "Long (&gt;20 days)".</t>
  </si>
  <si>
    <t>Manager_Lookup: use INDEX/MATCH (not VLOOKUP) to pull Project_Manager from the Projects sheet by Project_ID, as a second, independent check on your Power Query merge.</t>
  </si>
  <si>
    <t>Build a small Summary block (separate area of the same sheet or a new sheet) using:</t>
  </si>
  <si>
    <t xml:space="preserve">  • COUNTIFS — count of Delayed tasks per Department.</t>
  </si>
  <si>
    <t xml:space="preserve">  • SUMIFS — total Actual_Cost per Department for Completed tasks.</t>
  </si>
  <si>
    <t xml:space="preserve">  • AVERAGEIFS — average Delay_Days per Priority level, for Completed/Delayed tasks only.</t>
  </si>
  <si>
    <t xml:space="preserve">  • A TEXT + DATEDIF-based formula that produces a readable string such as "Delayed by 5 days" from Delay_Days.</t>
  </si>
  <si>
    <t>PART 3 — PIVOTTABLES</t>
  </si>
  <si>
    <t>Create a new sheet called PivotTables and build at least 4 PivotTables (or one PivotTable with multiple value fields, plus 3 focused ones) from tbl_Tasks_Clean:</t>
  </si>
  <si>
    <t>1) Total Planned_Cost vs Actual_Cost by Project_Name (rows = Project_Name, values = Sum of Planned_Cost &amp; Actual_Cost).</t>
  </si>
  <si>
    <t>2) Count of tasks by Status, broken down by Department (rows = Department, columns = Status, values = Count of Task_ID).</t>
  </si>
  <si>
    <t>3) Average Delay_Days by Department and Priority (rows = Department, columns = Priority).</t>
  </si>
  <si>
    <t>4) Top 5 employees by total Actual_Cost of tasks assigned to them (use Value Filters &gt; Top 10, set to 5).</t>
  </si>
  <si>
    <t>Add at least one Slicer (e.g. on Status or Priority) connected to two of your PivotTables.</t>
  </si>
  <si>
    <t>Format all value fields as currency where relevant and apply a PivotTable style consistent with the rest of the workbook.</t>
  </si>
  <si>
    <t>PART 4 — POWER PIVOT (Data Model &amp; DAX)</t>
  </si>
  <si>
    <t>Open the Power Pivot window (Power Pivot tab &gt; Manage Data Model). Confirm tbl_Tasks_Clean, Projects and Employees are all loaded to the Data Model.</t>
  </si>
  <si>
    <t>Create relationships: Tasks_Clean[Project_ID] -&gt; Projects[Project_ID], and Tasks_Clean[Assigned_To] -&gt; Employees[Employee_Name].</t>
  </si>
  <si>
    <t>Add the following DAX measures in the Data Model (name them exactly as shown):</t>
  </si>
  <si>
    <t xml:space="preserve">  • Total Planned Cost := SUM(Tasks_Clean[Planned_Cost])</t>
  </si>
  <si>
    <t xml:space="preserve">  • Total Actual Cost := SUM(Tasks_Clean[Actual_Cost])</t>
  </si>
  <si>
    <t xml:space="preserve">  • Cost Variance := [Total Actual Cost] - [Total Planned Cost]</t>
  </si>
  <si>
    <t xml:space="preserve">  • Cost Variance % := DIVIDE([Cost Variance], [Total Planned Cost], 0)</t>
  </si>
  <si>
    <t xml:space="preserve">  • Completed Tasks := CALCULATE(COUNTROWS(Tasks_Clean), Tasks_Clean[Status] = "Completed")</t>
  </si>
  <si>
    <t xml:space="preserve">  • On-Time Completion Rate := DIVIDE(CALCULATE(COUNTROWS(Tasks_Clean), Tasks_Clean[Status]="Completed", Tasks_Clean[Delay_Days]&lt;=0), [Completed Tasks], 0)</t>
  </si>
  <si>
    <t xml:space="preserve">  • Average Delay Days := AVERAGEX(FILTER(Tasks_Clean, Tasks_Clean[Status]="Completed"), Tasks_Clean[Delay_Days])</t>
  </si>
  <si>
    <t>Build a new PivotTable from the Data Model (not the plain range) using at least 3 of these measures, sliced by Project_Name and Department, to confirm the model works.</t>
  </si>
  <si>
    <t>PART 5 — DASHBOARD</t>
  </si>
  <si>
    <t>Create a new sheet called Dashboard, gridlines off, and lay out a single printable page (landscape).</t>
  </si>
  <si>
    <t>Include at least 4 KPI cards driven by formulas/measures: Total Planned Cost, Total Actual Cost, Cost Variance %, On-Time Completion Rate.</t>
  </si>
  <si>
    <t>Include at least 3 charts: (a) Column chart — Planned vs Actual Cost by Project, (b) Stacked bar/column — Task count by Status per Department, (c) Line or bar — Average Delay Days by Priority.</t>
  </si>
  <si>
    <t>Include at least 2 slicers (e.g. Department and Priority) connected to the charts/PivotTables that drive the dashboard.</t>
  </si>
  <si>
    <t>Use a consistent color palette and clear titles; the dashboard should read clearly without needing the raw data sheets.</t>
  </si>
  <si>
    <t>Deliverable</t>
  </si>
  <si>
    <t>Submit this single workbook with all sheets completed: Instructions (unchanged), Projects, Employees, Tasks_RawData (unchanged — keep as the original messy source), your Power Query output table, PivotTables sheet, the Power Pivot data model inside this file, and the Dashboard sheet.</t>
  </si>
  <si>
    <t>Project_ID</t>
  </si>
  <si>
    <t>Project_Name</t>
  </si>
  <si>
    <t>Client</t>
  </si>
  <si>
    <t>Project_Manager</t>
  </si>
  <si>
    <t>Start_Date</t>
  </si>
  <si>
    <t>Budget</t>
  </si>
  <si>
    <t>PRJ-001</t>
  </si>
  <si>
    <t>Website Redesign</t>
  </si>
  <si>
    <t>Nile Corp</t>
  </si>
  <si>
    <t>Mona Farid</t>
  </si>
  <si>
    <t>2024-06-12</t>
  </si>
  <si>
    <t>PRJ-002</t>
  </si>
  <si>
    <t>ERP System Rollout</t>
  </si>
  <si>
    <t>Delta Retail Group</t>
  </si>
  <si>
    <t>Youssef Adel</t>
  </si>
  <si>
    <t>2024-07-08</t>
  </si>
  <si>
    <t>PRJ-003</t>
  </si>
  <si>
    <t>Mobile App Launch</t>
  </si>
  <si>
    <t>Alexandria Logistics</t>
  </si>
  <si>
    <t>Ahmed Nabil</t>
  </si>
  <si>
    <t>2024-02-27</t>
  </si>
  <si>
    <t>PRJ-004</t>
  </si>
  <si>
    <t>Warehouse Automation</t>
  </si>
  <si>
    <t>Cairo Financial Services</t>
  </si>
  <si>
    <t>Laila Samir</t>
  </si>
  <si>
    <t>2024-06-22</t>
  </si>
  <si>
    <t>PRJ-005</t>
  </si>
  <si>
    <t>Customer Portal Upgrade</t>
  </si>
  <si>
    <t>Horizon Manufacturing</t>
  </si>
  <si>
    <t>2024-01-09</t>
  </si>
  <si>
    <t>PRJ-006</t>
  </si>
  <si>
    <t>CRM Migration</t>
  </si>
  <si>
    <t>BlueWave Telecom</t>
  </si>
  <si>
    <t>2024-02-25</t>
  </si>
  <si>
    <t>PRJ-007</t>
  </si>
  <si>
    <t>Network Security Overhaul</t>
  </si>
  <si>
    <t>Internal</t>
  </si>
  <si>
    <t>2024-05-23</t>
  </si>
  <si>
    <t>PRJ-008</t>
  </si>
  <si>
    <t>Office Relocation</t>
  </si>
  <si>
    <t>Pharos Holdings</t>
  </si>
  <si>
    <t>Nourhan Tarek</t>
  </si>
  <si>
    <t>2024-02-26</t>
  </si>
  <si>
    <t>PRJ-009</t>
  </si>
  <si>
    <t>Supply Chain Optimization</t>
  </si>
  <si>
    <t>Suez Trading Co.</t>
  </si>
  <si>
    <t>2024-01-02</t>
  </si>
  <si>
    <t>PRJ-010</t>
  </si>
  <si>
    <t>Product Line Expansion</t>
  </si>
  <si>
    <t>Sara Hassan</t>
  </si>
  <si>
    <t>2024-03-28</t>
  </si>
  <si>
    <t>PRJ-011</t>
  </si>
  <si>
    <t>HR System Implementation</t>
  </si>
  <si>
    <t>Giza Health Systems</t>
  </si>
  <si>
    <t>PRJ-012</t>
  </si>
  <si>
    <t>Cloud Migration</t>
  </si>
  <si>
    <t>Red Sea Tourism</t>
  </si>
  <si>
    <t>2024-01-24</t>
  </si>
  <si>
    <t>PRJ-013</t>
  </si>
  <si>
    <t>Brand Refresh Campaign</t>
  </si>
  <si>
    <t>2024-04-01</t>
  </si>
  <si>
    <t>PRJ-014</t>
  </si>
  <si>
    <t>Retail Store Opening</t>
  </si>
  <si>
    <t>Orbit Media</t>
  </si>
  <si>
    <t>2024-01-12</t>
  </si>
  <si>
    <t>PRJ-015</t>
  </si>
  <si>
    <t>Data Center Upgrade</t>
  </si>
  <si>
    <t>2024-04-06</t>
  </si>
  <si>
    <t>Employee_ID</t>
  </si>
  <si>
    <t>Employee_Name</t>
  </si>
  <si>
    <t>Department</t>
  </si>
  <si>
    <t>Role</t>
  </si>
  <si>
    <t>Hourly_Rate</t>
  </si>
  <si>
    <t>EMP-001</t>
  </si>
  <si>
    <t>Hana Zaki</t>
  </si>
  <si>
    <t>IT</t>
  </si>
  <si>
    <t>Systems Analyst</t>
  </si>
  <si>
    <t>EMP-002</t>
  </si>
  <si>
    <t>Yasmin Younes</t>
  </si>
  <si>
    <t>EMP-003</t>
  </si>
  <si>
    <t>Hassan Fouad</t>
  </si>
  <si>
    <t>Software Engineer</t>
  </si>
  <si>
    <t>EMP-004</t>
  </si>
  <si>
    <t>Tarek Abdelrahman</t>
  </si>
  <si>
    <t>IT Support Specialist</t>
  </si>
  <si>
    <t>EMP-005</t>
  </si>
  <si>
    <t>Dina Zaki</t>
  </si>
  <si>
    <t>EMP-006</t>
  </si>
  <si>
    <t>Farida Younes</t>
  </si>
  <si>
    <t>Operations</t>
  </si>
  <si>
    <t>Operations Coordinator</t>
  </si>
  <si>
    <t>EMP-007</t>
  </si>
  <si>
    <t>Reem Gaber</t>
  </si>
  <si>
    <t>EMP-008</t>
  </si>
  <si>
    <t>Sherif Hosny</t>
  </si>
  <si>
    <t>Logistics Planner</t>
  </si>
  <si>
    <t>EMP-009</t>
  </si>
  <si>
    <t>Farida Zaki</t>
  </si>
  <si>
    <t>EMP-010</t>
  </si>
  <si>
    <t>Yasmin Zaki</t>
  </si>
  <si>
    <t>EMP-011</t>
  </si>
  <si>
    <t>Khaled Naguib</t>
  </si>
  <si>
    <t>Finance</t>
  </si>
  <si>
    <t>Budget Controller</t>
  </si>
  <si>
    <t>EMP-012</t>
  </si>
  <si>
    <t>Khaled Younes</t>
  </si>
  <si>
    <t>Accountant</t>
  </si>
  <si>
    <t>EMP-013</t>
  </si>
  <si>
    <t>Ziad Abdelrahman</t>
  </si>
  <si>
    <t>Financial Analyst</t>
  </si>
  <si>
    <t>EMP-014</t>
  </si>
  <si>
    <t>Rania Gaber</t>
  </si>
  <si>
    <t>Marketing</t>
  </si>
  <si>
    <t>Brand Manager</t>
  </si>
  <si>
    <t>EMP-015</t>
  </si>
  <si>
    <t>Noor Naguib</t>
  </si>
  <si>
    <t>Content Strategist</t>
  </si>
  <si>
    <t>EMP-016</t>
  </si>
  <si>
    <t>Dina Fouad</t>
  </si>
  <si>
    <t>Marketing Specialist</t>
  </si>
  <si>
    <t>EMP-017</t>
  </si>
  <si>
    <t>Yasmin El-Sayed</t>
  </si>
  <si>
    <t>HR</t>
  </si>
  <si>
    <t>HR Generalist</t>
  </si>
  <si>
    <t>EMP-018</t>
  </si>
  <si>
    <t>Farida Hosny</t>
  </si>
  <si>
    <t>Training Coordinator</t>
  </si>
  <si>
    <t>EMP-019</t>
  </si>
  <si>
    <t>Fady Hosny</t>
  </si>
  <si>
    <t>EMP-020</t>
  </si>
  <si>
    <t>Tarek Shawky</t>
  </si>
  <si>
    <t>Procurement</t>
  </si>
  <si>
    <t>Procurement Officer</t>
  </si>
  <si>
    <t>EMP-021</t>
  </si>
  <si>
    <t>Farida Shawky</t>
  </si>
  <si>
    <t>Vendor Manager</t>
  </si>
  <si>
    <t>EMP-022</t>
  </si>
  <si>
    <t>Mariam Kamal</t>
  </si>
  <si>
    <t>EMP-023</t>
  </si>
  <si>
    <t>Sherif Ibrahim</t>
  </si>
  <si>
    <t>EMP-024</t>
  </si>
  <si>
    <t>Mostafa El-Sayed</t>
  </si>
  <si>
    <t>EMP-025</t>
  </si>
  <si>
    <t>Dina Mahmoud</t>
  </si>
  <si>
    <t>Quality Assurance</t>
  </si>
  <si>
    <t>QA Engineer</t>
  </si>
  <si>
    <t>EMP-026</t>
  </si>
  <si>
    <t>Aya Ibrahim</t>
  </si>
  <si>
    <t>EMP-027</t>
  </si>
  <si>
    <t>Salma Fouad</t>
  </si>
  <si>
    <t>Task_ID</t>
  </si>
  <si>
    <t>Task_Name</t>
  </si>
  <si>
    <t>Assigned_To</t>
  </si>
  <si>
    <t>Priority</t>
  </si>
  <si>
    <t>Status</t>
  </si>
  <si>
    <t>Planned_End_Date</t>
  </si>
  <si>
    <t>Actual_End_Date</t>
  </si>
  <si>
    <t>Planned_Cost</t>
  </si>
  <si>
    <t>Actual_Cost</t>
  </si>
  <si>
    <t>TSK-0085</t>
  </si>
  <si>
    <t>Audit marketing collateral</t>
  </si>
  <si>
    <t>FINANCE</t>
  </si>
  <si>
    <t>MEDIUM</t>
  </si>
  <si>
    <t xml:space="preserve">Delayed </t>
  </si>
  <si>
    <t>05-Jul-2024</t>
  </si>
  <si>
    <t>02-Aug-2024</t>
  </si>
  <si>
    <t>09-Aug-2024</t>
  </si>
  <si>
    <t>TSK-0276</t>
  </si>
  <si>
    <t>Develop backup procedure</t>
  </si>
  <si>
    <t>high</t>
  </si>
  <si>
    <t>in progress</t>
  </si>
  <si>
    <t>2024-06-20</t>
  </si>
  <si>
    <t>TSK-0216</t>
  </si>
  <si>
    <t xml:space="preserve">Procure warehouse layout  </t>
  </si>
  <si>
    <t>MARKETING</t>
  </si>
  <si>
    <t>Low</t>
  </si>
  <si>
    <t>IN PROGRESS</t>
  </si>
  <si>
    <t>2024/04/03</t>
  </si>
  <si>
    <t>2024/04/30</t>
  </si>
  <si>
    <t>TSK-0122</t>
  </si>
  <si>
    <t>Audit vendor contract</t>
  </si>
  <si>
    <t>finance</t>
  </si>
  <si>
    <t>medium</t>
  </si>
  <si>
    <t>DELAYED</t>
  </si>
  <si>
    <t>06-29-2024</t>
  </si>
  <si>
    <t>07-12-2024</t>
  </si>
  <si>
    <t>07-24-2024</t>
  </si>
  <si>
    <t>TSK-0299</t>
  </si>
  <si>
    <t>Configure supplier list</t>
  </si>
  <si>
    <t>HIGH</t>
  </si>
  <si>
    <t>04-Aug-2024</t>
  </si>
  <si>
    <t>26-Aug-2024</t>
  </si>
  <si>
    <t>TSK-0150</t>
  </si>
  <si>
    <t>Develop training material</t>
  </si>
  <si>
    <t>Delayed</t>
  </si>
  <si>
    <t>07-20-2024</t>
  </si>
  <si>
    <t>08-07-2024</t>
  </si>
  <si>
    <t>08-12-2024</t>
  </si>
  <si>
    <t>TSK-0303</t>
  </si>
  <si>
    <t>Plan hardware setup</t>
  </si>
  <si>
    <t>M</t>
  </si>
  <si>
    <t>Not Started</t>
  </si>
  <si>
    <t>2024/05/26</t>
  </si>
  <si>
    <t>2024/06/16</t>
  </si>
  <si>
    <t>TSK-0058</t>
  </si>
  <si>
    <t>Audit inventory system</t>
  </si>
  <si>
    <t>Medium</t>
  </si>
  <si>
    <t xml:space="preserve">Not started </t>
  </si>
  <si>
    <t>20-Jul-2024</t>
  </si>
  <si>
    <t>19-Aug-2024</t>
  </si>
  <si>
    <t>TSK-0014</t>
  </si>
  <si>
    <t>Deploy inventory system</t>
  </si>
  <si>
    <t>In Progress</t>
  </si>
  <si>
    <t>14-Aug-2024</t>
  </si>
  <si>
    <t>07-Sep-2024</t>
  </si>
  <si>
    <t>TSK-0090</t>
  </si>
  <si>
    <t>Optimize quality checklist</t>
  </si>
  <si>
    <t xml:space="preserve">Marketing </t>
  </si>
  <si>
    <t>L</t>
  </si>
  <si>
    <t>Complete</t>
  </si>
  <si>
    <t>2024-02-19</t>
  </si>
  <si>
    <t>2024-03-19</t>
  </si>
  <si>
    <t>2024-03-17</t>
  </si>
  <si>
    <t>TSK-0211</t>
  </si>
  <si>
    <t>Document training material</t>
  </si>
  <si>
    <t>I.T.</t>
  </si>
  <si>
    <t>H</t>
  </si>
  <si>
    <t xml:space="preserve"> In Progress</t>
  </si>
  <si>
    <t>30-Jun-2024</t>
  </si>
  <si>
    <t>15-Jul-2024</t>
  </si>
  <si>
    <t>TSK-0093</t>
  </si>
  <si>
    <t>Procure vendor contract</t>
  </si>
  <si>
    <t>marketing</t>
  </si>
  <si>
    <t>2024/01/10</t>
  </si>
  <si>
    <t>2024/01/15</t>
  </si>
  <si>
    <t>2024/01/12</t>
  </si>
  <si>
    <t>TSK-0172</t>
  </si>
  <si>
    <t>Audit user interface</t>
  </si>
  <si>
    <t>QA</t>
  </si>
  <si>
    <t>Completed</t>
  </si>
  <si>
    <t>20/05/2024</t>
  </si>
  <si>
    <t>29/05/2024</t>
  </si>
  <si>
    <t>TSK-0153</t>
  </si>
  <si>
    <t>Med</t>
  </si>
  <si>
    <t>Ongoing</t>
  </si>
  <si>
    <t>2024/04/13</t>
  </si>
  <si>
    <t>2024/05/07</t>
  </si>
  <si>
    <t>TSK-0053</t>
  </si>
  <si>
    <t xml:space="preserve">Migrate API integration  </t>
  </si>
  <si>
    <t>COMPLETED</t>
  </si>
  <si>
    <t>07-Jun-2024</t>
  </si>
  <si>
    <t>27-Jun-2024</t>
  </si>
  <si>
    <t>TSK-0288</t>
  </si>
  <si>
    <t xml:space="preserve">Optimize customer feedback survey  </t>
  </si>
  <si>
    <t>it</t>
  </si>
  <si>
    <t>22/02/2024</t>
  </si>
  <si>
    <t>08/03/2024</t>
  </si>
  <si>
    <t>10/03/2024</t>
  </si>
  <si>
    <t>TSK-0038</t>
  </si>
  <si>
    <t>Audit API integration</t>
  </si>
  <si>
    <t>PROCUREMENT</t>
  </si>
  <si>
    <t>2024-08-09</t>
  </si>
  <si>
    <t>2024-09-01</t>
  </si>
  <si>
    <t>TSK-0101</t>
  </si>
  <si>
    <t>Design network infrastructure</t>
  </si>
  <si>
    <t>28/01/2024</t>
  </si>
  <si>
    <t>21/02/2024</t>
  </si>
  <si>
    <t>23/02/2024</t>
  </si>
  <si>
    <t>TSK-0024</t>
  </si>
  <si>
    <t>Migrate backup procedure</t>
  </si>
  <si>
    <t>09-07-2024</t>
  </si>
  <si>
    <t>09-18-2024</t>
  </si>
  <si>
    <t>TSK-0212</t>
  </si>
  <si>
    <t>Test backup procedure</t>
  </si>
  <si>
    <t>I.T</t>
  </si>
  <si>
    <t>High</t>
  </si>
  <si>
    <t>NOT STARTED</t>
  </si>
  <si>
    <t>2024-05-22</t>
  </si>
  <si>
    <t>2024-05-30</t>
  </si>
  <si>
    <t>TSK-0204</t>
  </si>
  <si>
    <t>Document warehouse layout</t>
  </si>
  <si>
    <t>Done</t>
  </si>
  <si>
    <t>2024-04-22</t>
  </si>
  <si>
    <t>2024-05-02</t>
  </si>
  <si>
    <t>2024-05-04</t>
  </si>
  <si>
    <t>TSK-0317</t>
  </si>
  <si>
    <t>TEST - ignore</t>
  </si>
  <si>
    <t>TSK-0104</t>
  </si>
  <si>
    <t>Install budget report</t>
  </si>
  <si>
    <t>LOW</t>
  </si>
  <si>
    <t>completed</t>
  </si>
  <si>
    <t>13/05/2024</t>
  </si>
  <si>
    <t>22/05/2024</t>
  </si>
  <si>
    <t>19/05/2024</t>
  </si>
  <si>
    <t>TSK-0192</t>
  </si>
  <si>
    <t>Analyze security policy</t>
  </si>
  <si>
    <t>2024-06-19</t>
  </si>
  <si>
    <t>2024-06-24</t>
  </si>
  <si>
    <t>TSK-0245</t>
  </si>
  <si>
    <t xml:space="preserve">Test marketing collateral  </t>
  </si>
  <si>
    <t>2024-03-15</t>
  </si>
  <si>
    <t>TSK-0213</t>
  </si>
  <si>
    <t>Train users on hardware setup</t>
  </si>
  <si>
    <t>05-Apr-2024</t>
  </si>
  <si>
    <t>09-Apr-2024</t>
  </si>
  <si>
    <t>TSK-0149</t>
  </si>
  <si>
    <t>Test API integration</t>
  </si>
  <si>
    <t>26/06/2024</t>
  </si>
  <si>
    <t>30/06/2024</t>
  </si>
  <si>
    <t>TSK-0198</t>
  </si>
  <si>
    <t>Plan database schema</t>
  </si>
  <si>
    <t>05-30-2024</t>
  </si>
  <si>
    <t>06-13-2024</t>
  </si>
  <si>
    <t>TSK-0082</t>
  </si>
  <si>
    <t>Audit budget report</t>
  </si>
  <si>
    <t>10-29-2024</t>
  </si>
  <si>
    <t>11-03-2024</t>
  </si>
  <si>
    <t>11-02-2024</t>
  </si>
  <si>
    <t>TSK-0119</t>
  </si>
  <si>
    <t>Document user interface</t>
  </si>
  <si>
    <t>quality assurance</t>
  </si>
  <si>
    <t>08/07/2024</t>
  </si>
  <si>
    <t>31/07/2024</t>
  </si>
  <si>
    <t>02/08/2024</t>
  </si>
  <si>
    <t>TSK-0304</t>
  </si>
  <si>
    <t>Approve budget report</t>
  </si>
  <si>
    <t xml:space="preserve"> Khaled Naguib </t>
  </si>
  <si>
    <t>25-Aug-2024</t>
  </si>
  <si>
    <t>TSK-0048</t>
  </si>
  <si>
    <t>Install vendor contract</t>
  </si>
  <si>
    <t xml:space="preserve"> IT</t>
  </si>
  <si>
    <t>2024-03-01</t>
  </si>
  <si>
    <t>2024-03-21</t>
  </si>
  <si>
    <t>TSK-0051</t>
  </si>
  <si>
    <t>Approve onboarding process</t>
  </si>
  <si>
    <t xml:space="preserve"> HR</t>
  </si>
  <si>
    <t>22-Jul-2024</t>
  </si>
  <si>
    <t>06-Aug-2024</t>
  </si>
  <si>
    <t>TSK-0068</t>
  </si>
  <si>
    <t>Review API integration</t>
  </si>
  <si>
    <t>17-Oct-2024</t>
  </si>
  <si>
    <t>09-Nov-2024</t>
  </si>
  <si>
    <t>06-Nov-2024</t>
  </si>
  <si>
    <t>TSK-0307</t>
  </si>
  <si>
    <t xml:space="preserve">Deploy server configuration  </t>
  </si>
  <si>
    <t>24/06/2024</t>
  </si>
  <si>
    <t>04/07/2024</t>
  </si>
  <si>
    <t>TSK-0017</t>
  </si>
  <si>
    <t>Procure customer feedback survey</t>
  </si>
  <si>
    <t>H.R.</t>
  </si>
  <si>
    <t>11-07-2024</t>
  </si>
  <si>
    <t>11-18-2024</t>
  </si>
  <si>
    <t>11-16-2024</t>
  </si>
  <si>
    <t>TSK-0206</t>
  </si>
  <si>
    <t>Configure network infrastructure</t>
  </si>
  <si>
    <t>Pending</t>
  </si>
  <si>
    <t>2024/08/09</t>
  </si>
  <si>
    <t>2024/08/27</t>
  </si>
  <si>
    <t>TSK-0117</t>
  </si>
  <si>
    <t>Migrate server configuration</t>
  </si>
  <si>
    <t>05-16-2024</t>
  </si>
  <si>
    <t>05-24-2024</t>
  </si>
  <si>
    <t>TSK-0108</t>
  </si>
  <si>
    <t>Deploy hardware setup</t>
  </si>
  <si>
    <t>OPERATIONS</t>
  </si>
  <si>
    <t>delayed</t>
  </si>
  <si>
    <t>05-07-2024</t>
  </si>
  <si>
    <t>06-06-2024</t>
  </si>
  <si>
    <t>06-05-2024</t>
  </si>
  <si>
    <t>TSK-0196</t>
  </si>
  <si>
    <t>Review network infrastructure</t>
  </si>
  <si>
    <t>operations</t>
  </si>
  <si>
    <t>17/06/2024</t>
  </si>
  <si>
    <t>TSK-0305</t>
  </si>
  <si>
    <t>Plan training material</t>
  </si>
  <si>
    <t>14-Jun-2024</t>
  </si>
  <si>
    <t>01-Jul-2024</t>
  </si>
  <si>
    <t>TSK-0177</t>
  </si>
  <si>
    <t>Migrate employee handbook</t>
  </si>
  <si>
    <t>02-26-2024</t>
  </si>
  <si>
    <t>03-13-2024</t>
  </si>
  <si>
    <t>TSK-0137</t>
  </si>
  <si>
    <t>Develop inventory system</t>
  </si>
  <si>
    <t>2024/07/23</t>
  </si>
  <si>
    <t>2024/08/01</t>
  </si>
  <si>
    <t>2024/07/29</t>
  </si>
  <si>
    <t>TSK-0210</t>
  </si>
  <si>
    <t>Analyze marketing collateral</t>
  </si>
  <si>
    <t>2024-05-20</t>
  </si>
  <si>
    <t>2024-06-06</t>
  </si>
  <si>
    <t>TSK-0181</t>
  </si>
  <si>
    <t xml:space="preserve">Deploy budget report  </t>
  </si>
  <si>
    <t>Ops</t>
  </si>
  <si>
    <t>05/04/2024</t>
  </si>
  <si>
    <t>17/04/2024</t>
  </si>
  <si>
    <t>TSK-0176</t>
  </si>
  <si>
    <t>Design budget report</t>
  </si>
  <si>
    <t>2024/03/13</t>
  </si>
  <si>
    <t>2024/04/07</t>
  </si>
  <si>
    <t>2024/04/06</t>
  </si>
  <si>
    <t>TSK-0189</t>
  </si>
  <si>
    <t>Plan quality checklist</t>
  </si>
  <si>
    <t>2024/08/02</t>
  </si>
  <si>
    <t>2024/08/19</t>
  </si>
  <si>
    <t>TSK-0138</t>
  </si>
  <si>
    <t>Document hardware setup</t>
  </si>
  <si>
    <t xml:space="preserve">Operations </t>
  </si>
  <si>
    <t>07-21-2024</t>
  </si>
  <si>
    <t>08-19-2024</t>
  </si>
  <si>
    <t>TSK-0061</t>
  </si>
  <si>
    <t>Approve quality checklist</t>
  </si>
  <si>
    <t>Q.A.</t>
  </si>
  <si>
    <t>Behind Schedule</t>
  </si>
  <si>
    <t>06-07-2024</t>
  </si>
  <si>
    <t>06-10-2024</t>
  </si>
  <si>
    <t>06-15-2024</t>
  </si>
  <si>
    <t>TSK-0067</t>
  </si>
  <si>
    <t>Optimize dashboard</t>
  </si>
  <si>
    <t>2024-10-07</t>
  </si>
  <si>
    <t>2024-10-26</t>
  </si>
  <si>
    <t>TSK-0088</t>
  </si>
  <si>
    <t>Plan customer feedback survey</t>
  </si>
  <si>
    <t>04/04/2024</t>
  </si>
  <si>
    <t>01/05/2024</t>
  </si>
  <si>
    <t>02/05/2024</t>
  </si>
  <si>
    <t>TSK-0037</t>
  </si>
  <si>
    <t>19/11/2024</t>
  </si>
  <si>
    <t>11/12/2024</t>
  </si>
  <si>
    <t>TSK-0266</t>
  </si>
  <si>
    <t>Review employee handbook</t>
  </si>
  <si>
    <t xml:space="preserve"> Hana Zaki </t>
  </si>
  <si>
    <t>14-Jul-2024</t>
  </si>
  <si>
    <t>29-Jul-2024</t>
  </si>
  <si>
    <t>TSK-0070</t>
  </si>
  <si>
    <t>low</t>
  </si>
  <si>
    <t>10-Oct-2024</t>
  </si>
  <si>
    <t>27-Oct-2024</t>
  </si>
  <si>
    <t>31-Oct-2024</t>
  </si>
  <si>
    <t>TSK-0205</t>
  </si>
  <si>
    <t>Configure API integration</t>
  </si>
  <si>
    <t>29/04/2024</t>
  </si>
  <si>
    <t>TSK-0263</t>
  </si>
  <si>
    <t xml:space="preserve">Train users on employee handbook  </t>
  </si>
  <si>
    <t>11-Apr-2024</t>
  </si>
  <si>
    <t>05-May-2024</t>
  </si>
  <si>
    <t>04-May-2024</t>
  </si>
  <si>
    <t>TSK-0248</t>
  </si>
  <si>
    <t>Review onboarding process</t>
  </si>
  <si>
    <t>2024-06-16</t>
  </si>
  <si>
    <t>2024-06-15</t>
  </si>
  <si>
    <t>TSK-0044</t>
  </si>
  <si>
    <t>Design marketing collateral</t>
  </si>
  <si>
    <t>2024/05/19</t>
  </si>
  <si>
    <t>2024/06/10</t>
  </si>
  <si>
    <t>TSK-0208</t>
  </si>
  <si>
    <t>05-26-2024</t>
  </si>
  <si>
    <t>TSK-0277</t>
  </si>
  <si>
    <t>Train users on onboarding process</t>
  </si>
  <si>
    <t>procurement</t>
  </si>
  <si>
    <t>2024-04-17</t>
  </si>
  <si>
    <t>2024-05-10</t>
  </si>
  <si>
    <t>TSK-0291</t>
  </si>
  <si>
    <t>Analyze quality checklist</t>
  </si>
  <si>
    <t xml:space="preserve"> Finance</t>
  </si>
  <si>
    <t>2024/01/29</t>
  </si>
  <si>
    <t>2024/02/03</t>
  </si>
  <si>
    <t>TSK-0076</t>
  </si>
  <si>
    <t xml:space="preserve">Optimize server configuration  </t>
  </si>
  <si>
    <t>08-16-2024</t>
  </si>
  <si>
    <t>09-12-2024</t>
  </si>
  <si>
    <t>09-13-2024</t>
  </si>
  <si>
    <t>TSK-0318</t>
  </si>
  <si>
    <t>TSK-0284</t>
  </si>
  <si>
    <t>Document budget report</t>
  </si>
  <si>
    <t>10-Jun-2024</t>
  </si>
  <si>
    <t>08-Jul-2024</t>
  </si>
  <si>
    <t>23-Jul-2024</t>
  </si>
  <si>
    <t>TSK-0297</t>
  </si>
  <si>
    <t>Deploy user interface</t>
  </si>
  <si>
    <t>2024/05/22</t>
  </si>
  <si>
    <t>2024/06/18</t>
  </si>
  <si>
    <t>2024/06/19</t>
  </si>
  <si>
    <t>TSK-0259</t>
  </si>
  <si>
    <t xml:space="preserve">Plan server configuration  </t>
  </si>
  <si>
    <t>01/06/2024</t>
  </si>
  <si>
    <t>TSK-0006</t>
  </si>
  <si>
    <t>Design onboarding process</t>
  </si>
  <si>
    <t>14-Oct-2024</t>
  </si>
  <si>
    <t>01-Nov-2024</t>
  </si>
  <si>
    <t>04-Nov-2024</t>
  </si>
  <si>
    <t>TSK-0296</t>
  </si>
  <si>
    <t>Design employee handbook</t>
  </si>
  <si>
    <t>15-May-2024</t>
  </si>
  <si>
    <t>11-Jun-2024</t>
  </si>
  <si>
    <t>TSK-0007</t>
  </si>
  <si>
    <t>2024/07/21</t>
  </si>
  <si>
    <t>2024/07/30</t>
  </si>
  <si>
    <t>TSK-0271</t>
  </si>
  <si>
    <t>Deploy warehouse layout</t>
  </si>
  <si>
    <t>01-29-2024</t>
  </si>
  <si>
    <t>02-07-2024</t>
  </si>
  <si>
    <t>02-06-2024</t>
  </si>
  <si>
    <t>TSK-0252</t>
  </si>
  <si>
    <t>Procure warehouse layout</t>
  </si>
  <si>
    <t>2024/08/08</t>
  </si>
  <si>
    <t>2024/08/15</t>
  </si>
  <si>
    <t>TSK-0222</t>
  </si>
  <si>
    <t>Test security policy</t>
  </si>
  <si>
    <t>2024/05/11</t>
  </si>
  <si>
    <t>2024/06/06</t>
  </si>
  <si>
    <t>2024/06/17</t>
  </si>
  <si>
    <t>TSK-0201</t>
  </si>
  <si>
    <t xml:space="preserve">Train users on dashboard  </t>
  </si>
  <si>
    <t>07-03-2024</t>
  </si>
  <si>
    <t>07-27-2024</t>
  </si>
  <si>
    <t>TSK-0207</t>
  </si>
  <si>
    <t>Analyze onboarding process</t>
  </si>
  <si>
    <t>not started</t>
  </si>
  <si>
    <t>2024-04-25</t>
  </si>
  <si>
    <t>2024-05-25</t>
  </si>
  <si>
    <t>TSK-0185</t>
  </si>
  <si>
    <t>Develop onboarding process</t>
  </si>
  <si>
    <t>2024-01-06</t>
  </si>
  <si>
    <t>2024-01-27</t>
  </si>
  <si>
    <t>TSK-0045</t>
  </si>
  <si>
    <t>Procure backup procedure</t>
  </si>
  <si>
    <t>07-25-2024</t>
  </si>
  <si>
    <t>08-10-2024</t>
  </si>
  <si>
    <t>TSK-0218</t>
  </si>
  <si>
    <t>Train users on backup procedure</t>
  </si>
  <si>
    <t>16/03/2024</t>
  </si>
  <si>
    <t>09/04/2024</t>
  </si>
  <si>
    <t>TSK-0190</t>
  </si>
  <si>
    <t>Plan user interface</t>
  </si>
  <si>
    <t>31/03/2024</t>
  </si>
  <si>
    <t>10/04/2024</t>
  </si>
  <si>
    <t>TSK-0295</t>
  </si>
  <si>
    <t>Optimize security policy</t>
  </si>
  <si>
    <t>05/07/2024</t>
  </si>
  <si>
    <t>14/07/2024</t>
  </si>
  <si>
    <t>15/07/2024</t>
  </si>
  <si>
    <t>TSK-0155</t>
  </si>
  <si>
    <t>Approve database schema</t>
  </si>
  <si>
    <t>03-03-2024</t>
  </si>
  <si>
    <t>03-08-2024</t>
  </si>
  <si>
    <t>03-07-2024</t>
  </si>
  <si>
    <t>TSK-0109</t>
  </si>
  <si>
    <t>Develop warehouse layout</t>
  </si>
  <si>
    <t>2024-05-21</t>
  </si>
  <si>
    <t>TSK-0281</t>
  </si>
  <si>
    <t>Plan backup procedure</t>
  </si>
  <si>
    <t>02-17-2024</t>
  </si>
  <si>
    <t>03-16-2024</t>
  </si>
  <si>
    <t>03-31-2024</t>
  </si>
  <si>
    <t>TSK-0144</t>
  </si>
  <si>
    <t>Approve warehouse layout</t>
  </si>
  <si>
    <t>06/08/2024</t>
  </si>
  <si>
    <t>13/08/2024</t>
  </si>
  <si>
    <t>TSK-0077</t>
  </si>
  <si>
    <t>Optimize supplier list</t>
  </si>
  <si>
    <t>2024-08-26</t>
  </si>
  <si>
    <t>2024-09-07</t>
  </si>
  <si>
    <t>TSK-0124</t>
  </si>
  <si>
    <t>Develop vendor contract</t>
  </si>
  <si>
    <t>27/04/2024</t>
  </si>
  <si>
    <t>TSK-0285</t>
  </si>
  <si>
    <t>Procure quality checklist</t>
  </si>
  <si>
    <t>05-27-2024</t>
  </si>
  <si>
    <t>TSK-0063</t>
  </si>
  <si>
    <t>Deploy supplier list</t>
  </si>
  <si>
    <t>2024/06/22</t>
  </si>
  <si>
    <t>2024/07/06</t>
  </si>
  <si>
    <t>TSK-0023</t>
  </si>
  <si>
    <t>Install training material</t>
  </si>
  <si>
    <t>2024/10/29</t>
  </si>
  <si>
    <t>2024/11/20</t>
  </si>
  <si>
    <t>TSK-0253</t>
  </si>
  <si>
    <t>22/06/2024</t>
  </si>
  <si>
    <t>11/07/2024</t>
  </si>
  <si>
    <t>TSK-0042</t>
  </si>
  <si>
    <t>2024/03/16</t>
  </si>
  <si>
    <t>2024/04/09</t>
  </si>
  <si>
    <t>TSK-0261</t>
  </si>
  <si>
    <t>Test server configuration</t>
  </si>
  <si>
    <t>2024/04/19</t>
  </si>
  <si>
    <t>2024/05/17</t>
  </si>
  <si>
    <t>TSK-0229</t>
  </si>
  <si>
    <t>Optimize hardware setup</t>
  </si>
  <si>
    <t>2024-06-07</t>
  </si>
  <si>
    <t>2024-07-01</t>
  </si>
  <si>
    <t>TSK-0132</t>
  </si>
  <si>
    <t>Deploy training material</t>
  </si>
  <si>
    <t>2024/10/10</t>
  </si>
  <si>
    <t>TSK-0270</t>
  </si>
  <si>
    <t>Train users on vendor contract</t>
  </si>
  <si>
    <t>2024-08-19</t>
  </si>
  <si>
    <t>2024-08-24</t>
  </si>
  <si>
    <t>TSK-0112</t>
  </si>
  <si>
    <t>Procure inventory system</t>
  </si>
  <si>
    <t>2024/03/20</t>
  </si>
  <si>
    <t>2024/03/24</t>
  </si>
  <si>
    <t>TSK-0237</t>
  </si>
  <si>
    <t>Plan vendor contract</t>
  </si>
  <si>
    <t>2024/03/21</t>
  </si>
  <si>
    <t>2024/04/16</t>
  </si>
  <si>
    <t>TSK-0127</t>
  </si>
  <si>
    <t>Migrate training material</t>
  </si>
  <si>
    <t>2024-06-26</t>
  </si>
  <si>
    <t>2024-07-26</t>
  </si>
  <si>
    <t>2024-07-27</t>
  </si>
  <si>
    <t>TSK-0257</t>
  </si>
  <si>
    <t>Document employee handbook</t>
  </si>
  <si>
    <t>2024/07/25</t>
  </si>
  <si>
    <t>2024/07/31</t>
  </si>
  <si>
    <t>TSK-0030</t>
  </si>
  <si>
    <t xml:space="preserve">Plan hardware setup  </t>
  </si>
  <si>
    <t>2024-10-10</t>
  </si>
  <si>
    <t>2024-10-18</t>
  </si>
  <si>
    <t>2024-10-19</t>
  </si>
  <si>
    <t>TSK-0032</t>
  </si>
  <si>
    <t>Train users on customer feedback survey</t>
  </si>
  <si>
    <t>04/08/2024</t>
  </si>
  <si>
    <t>20/08/2024</t>
  </si>
  <si>
    <t>19/08/2024</t>
  </si>
  <si>
    <t>TSK-0075</t>
  </si>
  <si>
    <t xml:space="preserve"> Yasmin Younes </t>
  </si>
  <si>
    <t>13/09/2024</t>
  </si>
  <si>
    <t>10/10/2024</t>
  </si>
  <si>
    <t>11/10/2024</t>
  </si>
  <si>
    <t>TSK-0159</t>
  </si>
  <si>
    <t>Design dashboard</t>
  </si>
  <si>
    <t>hr</t>
  </si>
  <si>
    <t>26/03/2024</t>
  </si>
  <si>
    <t>16/04/2024</t>
  </si>
  <si>
    <t>TSK-0235</t>
  </si>
  <si>
    <t>Document quality checklist</t>
  </si>
  <si>
    <t>07/06/2024</t>
  </si>
  <si>
    <t>16/06/2024</t>
  </si>
  <si>
    <t>TSK-0238</t>
  </si>
  <si>
    <t>Install onboarding process</t>
  </si>
  <si>
    <t>05-Feb-2024</t>
  </si>
  <si>
    <t>29-Feb-2024</t>
  </si>
  <si>
    <t>TSK-0145</t>
  </si>
  <si>
    <t>Develop budget report</t>
  </si>
  <si>
    <t>2024-05-26</t>
  </si>
  <si>
    <t>2024-06-03</t>
  </si>
  <si>
    <t>2024-06-04</t>
  </si>
  <si>
    <t>TSK-0171</t>
  </si>
  <si>
    <t>Review warehouse layout</t>
  </si>
  <si>
    <t>14-Feb-2024</t>
  </si>
  <si>
    <t>12-Mar-2024</t>
  </si>
  <si>
    <t>TSK-0059</t>
  </si>
  <si>
    <t>Test hardware setup</t>
  </si>
  <si>
    <t>20/03/2024</t>
  </si>
  <si>
    <t>TSK-0131</t>
  </si>
  <si>
    <t>Document customer feedback survey</t>
  </si>
  <si>
    <t>28/10/2024</t>
  </si>
  <si>
    <t>TSK-0236</t>
  </si>
  <si>
    <t>Deploy backup procedure</t>
  </si>
  <si>
    <t>19-May-2024</t>
  </si>
  <si>
    <t>TSK-0186</t>
  </si>
  <si>
    <t>Migrate onboarding process</t>
  </si>
  <si>
    <t>13/03/2024</t>
  </si>
  <si>
    <t>18/03/2024</t>
  </si>
  <si>
    <t>TSK-0113</t>
  </si>
  <si>
    <t>Test onboarding process</t>
  </si>
  <si>
    <t>2024-07-20</t>
  </si>
  <si>
    <t>2024-07-31</t>
  </si>
  <si>
    <t>TSK-0074</t>
  </si>
  <si>
    <t>Deploy database schema</t>
  </si>
  <si>
    <t xml:space="preserve"> Ziad Abdelrahman </t>
  </si>
  <si>
    <t>2024-06-23</t>
  </si>
  <si>
    <t>TSK-0072</t>
  </si>
  <si>
    <t>2024/09/03</t>
  </si>
  <si>
    <t>2024/09/25</t>
  </si>
  <si>
    <t>TSK-0139</t>
  </si>
  <si>
    <t>Migrate supplier list</t>
  </si>
  <si>
    <t>09-Sep-2024</t>
  </si>
  <si>
    <t>29-Sep-2024</t>
  </si>
  <si>
    <t>TSK-0071</t>
  </si>
  <si>
    <t>13/07/2024</t>
  </si>
  <si>
    <t>18/07/2024</t>
  </si>
  <si>
    <t>28/07/2024</t>
  </si>
  <si>
    <t>TSK-0273</t>
  </si>
  <si>
    <t>Test database schema</t>
  </si>
  <si>
    <t>2024-02-16</t>
  </si>
  <si>
    <t>2024-03-07</t>
  </si>
  <si>
    <t>TSK-0279</t>
  </si>
  <si>
    <t>Design inventory system</t>
  </si>
  <si>
    <t xml:space="preserve"> Farida Younes </t>
  </si>
  <si>
    <t>14-May-2024</t>
  </si>
  <si>
    <t>TSK-0089</t>
  </si>
  <si>
    <t>03-21-2024</t>
  </si>
  <si>
    <t>04-17-2024</t>
  </si>
  <si>
    <t>TSK-0173</t>
  </si>
  <si>
    <t>31-May-2024</t>
  </si>
  <si>
    <t>25-Jun-2024</t>
  </si>
  <si>
    <t>TSK-0283</t>
  </si>
  <si>
    <t>07-Mar-2024</t>
  </si>
  <si>
    <t>08-Mar-2024</t>
  </si>
  <si>
    <t>TSK-0003</t>
  </si>
  <si>
    <t>2024/10/21</t>
  </si>
  <si>
    <t>2024/10/31</t>
  </si>
  <si>
    <t>TSK-0154</t>
  </si>
  <si>
    <t>17-May-2024</t>
  </si>
  <si>
    <t>28-May-2024</t>
  </si>
  <si>
    <t>TSK-0162</t>
  </si>
  <si>
    <t>Document dashboard</t>
  </si>
  <si>
    <t>2024/02/28</t>
  </si>
  <si>
    <t>2024/03/05</t>
  </si>
  <si>
    <t>2024/03/10</t>
  </si>
  <si>
    <t>TSK-0315</t>
  </si>
  <si>
    <t>TSK-0242</t>
  </si>
  <si>
    <t xml:space="preserve"> Mariam Kamal </t>
  </si>
  <si>
    <t>02-03-2024</t>
  </si>
  <si>
    <t>03-04-2024</t>
  </si>
  <si>
    <t>TSK-0039</t>
  </si>
  <si>
    <t>18/10/2024</t>
  </si>
  <si>
    <t>05/11/2024</t>
  </si>
  <si>
    <t>04/11/2024</t>
  </si>
  <si>
    <t>TSK-0002</t>
  </si>
  <si>
    <t xml:space="preserve">Document warehouse layout  </t>
  </si>
  <si>
    <t>2024-10-05</t>
  </si>
  <si>
    <t>2024-10-11</t>
  </si>
  <si>
    <t>TSK-0264</t>
  </si>
  <si>
    <t>Plan employee handbook</t>
  </si>
  <si>
    <t>2024-04-12</t>
  </si>
  <si>
    <t>2024-04-24</t>
  </si>
  <si>
    <t>2024-04-26</t>
  </si>
  <si>
    <t>TSK-0035</t>
  </si>
  <si>
    <t>Audit warehouse layout</t>
  </si>
  <si>
    <t>10/11/2024</t>
  </si>
  <si>
    <t>27/11/2024</t>
  </si>
  <si>
    <t>24/11/2024</t>
  </si>
  <si>
    <t>TSK-0247</t>
  </si>
  <si>
    <t>2024-02-12</t>
  </si>
  <si>
    <t>2024-03-10</t>
  </si>
  <si>
    <t>TSK-0226</t>
  </si>
  <si>
    <t>10/07/2024</t>
  </si>
  <si>
    <t>TSK-0265</t>
  </si>
  <si>
    <t xml:space="preserve">Install backup procedure  </t>
  </si>
  <si>
    <t xml:space="preserve"> Dina Zaki </t>
  </si>
  <si>
    <t>2024-08-16</t>
  </si>
  <si>
    <t>2024-09-14</t>
  </si>
  <si>
    <t>2024-09-24</t>
  </si>
  <si>
    <t>TSK-0102</t>
  </si>
  <si>
    <t>Deploy dashboard</t>
  </si>
  <si>
    <t>2024/04/10</t>
  </si>
  <si>
    <t>2024/04/25</t>
  </si>
  <si>
    <t>TSK-0115</t>
  </si>
  <si>
    <t>27-May-2024</t>
  </si>
  <si>
    <t>16-Jun-2024</t>
  </si>
  <si>
    <t>TSK-0116</t>
  </si>
  <si>
    <t>Develop user interface</t>
  </si>
  <si>
    <t>2024-04-10</t>
  </si>
  <si>
    <t>TSK-0200</t>
  </si>
  <si>
    <t xml:space="preserve">Review user interface  </t>
  </si>
  <si>
    <t>05-17-2024</t>
  </si>
  <si>
    <t>06-09-2024</t>
  </si>
  <si>
    <t>TSK-0316</t>
  </si>
  <si>
    <t>TSK-0097</t>
  </si>
  <si>
    <t>Audit security policy</t>
  </si>
  <si>
    <t xml:space="preserve"> Noor Naguib </t>
  </si>
  <si>
    <t>2024-02-24</t>
  </si>
  <si>
    <t>2024-03-23</t>
  </si>
  <si>
    <t>TSK-0301</t>
  </si>
  <si>
    <t>11-Aug-2024</t>
  </si>
  <si>
    <t>18-Aug-2024</t>
  </si>
  <si>
    <t>20-Aug-2024</t>
  </si>
  <si>
    <t>TSK-0140</t>
  </si>
  <si>
    <t>Deploy onboarding process</t>
  </si>
  <si>
    <t>2024/09/18</t>
  </si>
  <si>
    <t>2024/09/22</t>
  </si>
  <si>
    <t>2024/09/23</t>
  </si>
  <si>
    <t>TSK-0241</t>
  </si>
  <si>
    <t>Test vendor contract</t>
  </si>
  <si>
    <t>2024-02-21</t>
  </si>
  <si>
    <t>TSK-0243</t>
  </si>
  <si>
    <t>15/05/2024</t>
  </si>
  <si>
    <t>06/06/2024</t>
  </si>
  <si>
    <t>11/06/2024</t>
  </si>
  <si>
    <t>TSK-0111</t>
  </si>
  <si>
    <t>Deploy quality checklist</t>
  </si>
  <si>
    <t>01-Apr-2024</t>
  </si>
  <si>
    <t>14-Apr-2024</t>
  </si>
  <si>
    <t>16-Apr-2024</t>
  </si>
  <si>
    <t>TSK-0106</t>
  </si>
  <si>
    <t>Approve API integration</t>
  </si>
  <si>
    <t>05-29-2024</t>
  </si>
  <si>
    <t>TSK-0280</t>
  </si>
  <si>
    <t>Design hardware setup</t>
  </si>
  <si>
    <t>2024/01/26</t>
  </si>
  <si>
    <t>2024/02/02</t>
  </si>
  <si>
    <t>TSK-0084</t>
  </si>
  <si>
    <t>Install dashboard</t>
  </si>
  <si>
    <t>29/10/2024</t>
  </si>
  <si>
    <t>21/11/2024</t>
  </si>
  <si>
    <t>TSK-0193</t>
  </si>
  <si>
    <t>Design supplier list</t>
  </si>
  <si>
    <t xml:space="preserve"> Sherif Hosny </t>
  </si>
  <si>
    <t>17/05/2024</t>
  </si>
  <si>
    <t>12/06/2024</t>
  </si>
  <si>
    <t>TSK-0310</t>
  </si>
  <si>
    <t>08-04-2024</t>
  </si>
  <si>
    <t>08-24-2024</t>
  </si>
  <si>
    <t>08-21-2024</t>
  </si>
  <si>
    <t>TSK-0091</t>
  </si>
  <si>
    <t>Analyze database schema</t>
  </si>
  <si>
    <t>26-May-2024</t>
  </si>
  <si>
    <t>TSK-0114</t>
  </si>
  <si>
    <t>Deploy marketing collateral</t>
  </si>
  <si>
    <t>24-Jun-2024</t>
  </si>
  <si>
    <t>06-Jul-2024</t>
  </si>
  <si>
    <t>TSK-0217</t>
  </si>
  <si>
    <t>Deploy vendor contract</t>
  </si>
  <si>
    <t>2024-06-25</t>
  </si>
  <si>
    <t>2024-07-07</t>
  </si>
  <si>
    <t>2024-07-06</t>
  </si>
  <si>
    <t>TSK-0041</t>
  </si>
  <si>
    <t>2024-09-13</t>
  </si>
  <si>
    <t>2024-10-06</t>
  </si>
  <si>
    <t>TSK-0087</t>
  </si>
  <si>
    <t>10-30-2024</t>
  </si>
  <si>
    <t>11-13-2024</t>
  </si>
  <si>
    <t>11-10-2024</t>
  </si>
  <si>
    <t>TSK-0130</t>
  </si>
  <si>
    <t>Review hardware setup</t>
  </si>
  <si>
    <t>09-19-2024</t>
  </si>
  <si>
    <t>10-01-2024</t>
  </si>
  <si>
    <t>09-29-2024</t>
  </si>
  <si>
    <t>TSK-0103</t>
  </si>
  <si>
    <t>Optimize server configuration</t>
  </si>
  <si>
    <t>29/03/2024</t>
  </si>
  <si>
    <t>21/04/2024</t>
  </si>
  <si>
    <t>20/04/2024</t>
  </si>
  <si>
    <t>TSK-0302</t>
  </si>
  <si>
    <t>08-05-2024</t>
  </si>
  <si>
    <t>09-03-2024</t>
  </si>
  <si>
    <t>09-05-2024</t>
  </si>
  <si>
    <t>TSK-0308</t>
  </si>
  <si>
    <t>Plan warehouse layout</t>
  </si>
  <si>
    <t>2024/08/22</t>
  </si>
  <si>
    <t>2024/09/02</t>
  </si>
  <si>
    <t>2024/09/16</t>
  </si>
  <si>
    <t>TSK-0043</t>
  </si>
  <si>
    <t>Install hardware setup</t>
  </si>
  <si>
    <t>2024-05-15</t>
  </si>
  <si>
    <t>2024-06-08</t>
  </si>
  <si>
    <t>TSK-0027</t>
  </si>
  <si>
    <t>2024/11/04</t>
  </si>
  <si>
    <t>2024/11/11</t>
  </si>
  <si>
    <t>TSK-0110</t>
  </si>
  <si>
    <t xml:space="preserve">Audit dashboard  </t>
  </si>
  <si>
    <t xml:space="preserve"> Aya Ibrahim </t>
  </si>
  <si>
    <t>09-May-2024</t>
  </si>
  <si>
    <t>01-Jun-2024</t>
  </si>
  <si>
    <t>TSK-0118</t>
  </si>
  <si>
    <t>Optimize marketing collateral</t>
  </si>
  <si>
    <t>2024-03-24</t>
  </si>
  <si>
    <t>2024-04-09</t>
  </si>
  <si>
    <t>TSK-0092</t>
  </si>
  <si>
    <t>Deploy network infrastructure</t>
  </si>
  <si>
    <t xml:space="preserve"> Farida Shawky </t>
  </si>
  <si>
    <t>01-16-2024</t>
  </si>
  <si>
    <t>TSK-0148</t>
  </si>
  <si>
    <t>31/05/2024</t>
  </si>
  <si>
    <t>15/06/2024</t>
  </si>
  <si>
    <t>TSK-0202</t>
  </si>
  <si>
    <t>01/08/2024</t>
  </si>
  <si>
    <t>29/07/2024</t>
  </si>
  <si>
    <t>TSK-0230</t>
  </si>
  <si>
    <t>Audit training material</t>
  </si>
  <si>
    <t>04-21-2024</t>
  </si>
  <si>
    <t>05-15-2024</t>
  </si>
  <si>
    <t>TSK-0282</t>
  </si>
  <si>
    <t>Review training material</t>
  </si>
  <si>
    <t>03/03/2024</t>
  </si>
  <si>
    <t>22/03/2024</t>
  </si>
  <si>
    <t>TSK-0170</t>
  </si>
  <si>
    <t>Plan budget report</t>
  </si>
  <si>
    <t>15-Apr-2024</t>
  </si>
  <si>
    <t>21-May-2024</t>
  </si>
  <si>
    <t>TSK-0309</t>
  </si>
  <si>
    <t>Analyze supplier list</t>
  </si>
  <si>
    <t>08-27-2024</t>
  </si>
  <si>
    <t>TSK-0234</t>
  </si>
  <si>
    <t>Approve supplier list</t>
  </si>
  <si>
    <t>22-Jun-2024</t>
  </si>
  <si>
    <t>TSK-0161</t>
  </si>
  <si>
    <t>2024-05-28</t>
  </si>
  <si>
    <t>TSK-0146</t>
  </si>
  <si>
    <t>Optimize API integration</t>
  </si>
  <si>
    <t>2024/03/08</t>
  </si>
  <si>
    <t>TSK-0064</t>
  </si>
  <si>
    <t>Analyze user interface</t>
  </si>
  <si>
    <t>04-22-2024</t>
  </si>
  <si>
    <t>05-09-2024</t>
  </si>
  <si>
    <t>05-20-2024</t>
  </si>
  <si>
    <t>TSK-0221</t>
  </si>
  <si>
    <t>Design backup procedure</t>
  </si>
  <si>
    <t>04-03-2024</t>
  </si>
  <si>
    <t>TSK-0219</t>
  </si>
  <si>
    <t>2024/05/05</t>
  </si>
  <si>
    <t>2024/05/24</t>
  </si>
  <si>
    <t>TSK-0228</t>
  </si>
  <si>
    <t>Train users on marketing collateral</t>
  </si>
  <si>
    <t>05-11-2024</t>
  </si>
  <si>
    <t>06-04-2024</t>
  </si>
  <si>
    <t>06-01-2024</t>
  </si>
  <si>
    <t>TSK-0255</t>
  </si>
  <si>
    <t>Procure employee handbook</t>
  </si>
  <si>
    <t>07-Aug-2024</t>
  </si>
  <si>
    <t>27-Aug-2024</t>
  </si>
  <si>
    <t>03-Sep-2024</t>
  </si>
  <si>
    <t>TSK-0293</t>
  </si>
  <si>
    <t>Optimize vendor contract</t>
  </si>
  <si>
    <t>2024-03-14</t>
  </si>
  <si>
    <t>TSK-0060</t>
  </si>
  <si>
    <t>2024-04-20</t>
  </si>
  <si>
    <t>TSK-0227</t>
  </si>
  <si>
    <t>2024/04/29</t>
  </si>
  <si>
    <t>2024/05/08</t>
  </si>
  <si>
    <t>TSK-0133</t>
  </si>
  <si>
    <t>2024-06-21</t>
  </si>
  <si>
    <t>TSK-0056</t>
  </si>
  <si>
    <t>2024/02/29</t>
  </si>
  <si>
    <t>2024/03/28</t>
  </si>
  <si>
    <t>TSK-0020</t>
  </si>
  <si>
    <t>TSK-0078</t>
  </si>
  <si>
    <t>2024/07/02</t>
  </si>
  <si>
    <t>2024/07/18</t>
  </si>
  <si>
    <t>2024/07/15</t>
  </si>
  <si>
    <t>TSK-0209</t>
  </si>
  <si>
    <t>TSK-0267</t>
  </si>
  <si>
    <t>Audit dashboard</t>
  </si>
  <si>
    <t>2024-04-28</t>
  </si>
  <si>
    <t>TSK-0292</t>
  </si>
  <si>
    <t>Audit backup procedure</t>
  </si>
  <si>
    <t>2024/03/18</t>
  </si>
  <si>
    <t>2024/03/26</t>
  </si>
  <si>
    <t>TSK-0136</t>
  </si>
  <si>
    <t>Train users on security policy</t>
  </si>
  <si>
    <t>08/09/2024</t>
  </si>
  <si>
    <t>28/09/2024</t>
  </si>
  <si>
    <t>TSK-0289</t>
  </si>
  <si>
    <t>2024/04/23</t>
  </si>
  <si>
    <t>2024/05/15</t>
  </si>
  <si>
    <t>TSK-0158</t>
  </si>
  <si>
    <t>Migrate hardware setup</t>
  </si>
  <si>
    <t>18-May-2024</t>
  </si>
  <si>
    <t>09-Jun-2024</t>
  </si>
  <si>
    <t>TSK-0015</t>
  </si>
  <si>
    <t>Approve user interface</t>
  </si>
  <si>
    <t>2024-09-25</t>
  </si>
  <si>
    <t>2024-10-23</t>
  </si>
  <si>
    <t>2024-10-27</t>
  </si>
  <si>
    <t>TSK-0182</t>
  </si>
  <si>
    <t>2024-04-16</t>
  </si>
  <si>
    <t>2024-05-08</t>
  </si>
  <si>
    <t>TSK-0262</t>
  </si>
  <si>
    <t>Optimize employee handbook</t>
  </si>
  <si>
    <t>2024/06/24</t>
  </si>
  <si>
    <t>2024/07/08</t>
  </si>
  <si>
    <t>TSK-0107</t>
  </si>
  <si>
    <t>23-May-2024</t>
  </si>
  <si>
    <t>30-May-2024</t>
  </si>
  <si>
    <t>TSK-0313</t>
  </si>
  <si>
    <t>2024-06-27</t>
  </si>
  <si>
    <t>2024-06-30</t>
  </si>
  <si>
    <t>TSK-0143</t>
  </si>
  <si>
    <t>Analyze backup procedure</t>
  </si>
  <si>
    <t>TSK-0016</t>
  </si>
  <si>
    <t>Analyze server configuration</t>
  </si>
  <si>
    <t>07-31-2024</t>
  </si>
  <si>
    <t>08-15-2024</t>
  </si>
  <si>
    <t>TSK-0164</t>
  </si>
  <si>
    <t>2024-07-03</t>
  </si>
  <si>
    <t>TSK-0029</t>
  </si>
  <si>
    <t>Design customer feedback survey</t>
  </si>
  <si>
    <t>14/08/2024</t>
  </si>
  <si>
    <t>TSK-0287</t>
  </si>
  <si>
    <t>2024-05-18</t>
  </si>
  <si>
    <t>TSK-0220</t>
  </si>
  <si>
    <t>Optimize user interface</t>
  </si>
  <si>
    <t>2024/07/11</t>
  </si>
  <si>
    <t>2024/08/04</t>
  </si>
  <si>
    <t>TSK-0168</t>
  </si>
  <si>
    <t>2024/02/07</t>
  </si>
  <si>
    <t>2024/02/26</t>
  </si>
  <si>
    <t>TSK-0054</t>
  </si>
  <si>
    <t xml:space="preserve">Design user interface  </t>
  </si>
  <si>
    <t>06-17-2024</t>
  </si>
  <si>
    <t>06-23-2024</t>
  </si>
  <si>
    <t>06-25-2024</t>
  </si>
  <si>
    <t>TSK-0004</t>
  </si>
  <si>
    <t>Review user interface</t>
  </si>
  <si>
    <t>2024-09-10</t>
  </si>
  <si>
    <t>2024-09-26</t>
  </si>
  <si>
    <t>TSK-0019</t>
  </si>
  <si>
    <t xml:space="preserve">Audit onboarding process  </t>
  </si>
  <si>
    <t>2024/08/16</t>
  </si>
  <si>
    <t>TSK-0290</t>
  </si>
  <si>
    <t>TSK-0156</t>
  </si>
  <si>
    <t>Test training material</t>
  </si>
  <si>
    <t>02/06/2024</t>
  </si>
  <si>
    <t>10/06/2024</t>
  </si>
  <si>
    <t>TSK-0057</t>
  </si>
  <si>
    <t>Document onboarding process</t>
  </si>
  <si>
    <t>2024-07-22</t>
  </si>
  <si>
    <t>2024-07-21</t>
  </si>
  <si>
    <t>TSK-0094</t>
  </si>
  <si>
    <t xml:space="preserve">Document network infrastructure  </t>
  </si>
  <si>
    <t>2024/02/06</t>
  </si>
  <si>
    <t>2024/03/06</t>
  </si>
  <si>
    <t>TSK-0013</t>
  </si>
  <si>
    <t>Develop quality checklist</t>
  </si>
  <si>
    <t>02/11/2024</t>
  </si>
  <si>
    <t>03/11/2024</t>
  </si>
  <si>
    <t>TSK-0066</t>
  </si>
  <si>
    <t>Review database schema</t>
  </si>
  <si>
    <t>27/02/2024</t>
  </si>
  <si>
    <t>09/03/2024</t>
  </si>
  <si>
    <t>07/03/2024</t>
  </si>
  <si>
    <t>TSK-0269</t>
  </si>
  <si>
    <t>2024/06/27</t>
  </si>
  <si>
    <t>2024/06/29</t>
  </si>
  <si>
    <t>TSK-0180</t>
  </si>
  <si>
    <t>Review supplier list</t>
  </si>
  <si>
    <t>05-13-2024</t>
  </si>
  <si>
    <t>TSK-0160</t>
  </si>
  <si>
    <t>24-Apr-2024</t>
  </si>
  <si>
    <t>23-Apr-2024</t>
  </si>
  <si>
    <t>TSK-0254</t>
  </si>
  <si>
    <t>Configure security policy</t>
  </si>
  <si>
    <t>TSK-0126</t>
  </si>
  <si>
    <t>Develop database schema</t>
  </si>
  <si>
    <t>07-07-2024</t>
  </si>
  <si>
    <t>07-11-2024</t>
  </si>
  <si>
    <t>TSK-0239</t>
  </si>
  <si>
    <t>18/02/2024</t>
  </si>
  <si>
    <t>TSK-0100</t>
  </si>
  <si>
    <t xml:space="preserve">Plan dashboard  </t>
  </si>
  <si>
    <t>25-Apr-2024</t>
  </si>
  <si>
    <t>TSK-0215</t>
  </si>
  <si>
    <t>Analyze training material</t>
  </si>
  <si>
    <t>02-May-2024</t>
  </si>
  <si>
    <t>07-May-2024</t>
  </si>
  <si>
    <t>TSK-0147</t>
  </si>
  <si>
    <t>Review vendor contract</t>
  </si>
  <si>
    <t>01/03/2024</t>
  </si>
  <si>
    <t>TSK-0232</t>
  </si>
  <si>
    <t>Audit supplier list</t>
  </si>
  <si>
    <t>2024/05/23</t>
  </si>
  <si>
    <t>2024/06/01</t>
  </si>
  <si>
    <t>2024/06/02</t>
  </si>
  <si>
    <t>TSK-0026</t>
  </si>
  <si>
    <t>Document API integration</t>
  </si>
  <si>
    <t>09-Jul-2024</t>
  </si>
  <si>
    <t>TSK-0050</t>
  </si>
  <si>
    <t>04-Jun-2024</t>
  </si>
  <si>
    <t>TSK-0028</t>
  </si>
  <si>
    <t>Train users on supplier list</t>
  </si>
  <si>
    <t>14-Nov-2024</t>
  </si>
  <si>
    <t>TSK-0052</t>
  </si>
  <si>
    <t>TSK-0009</t>
  </si>
  <si>
    <t>17/08/2024</t>
  </si>
  <si>
    <t>26/08/2024</t>
  </si>
  <si>
    <t>28/08/2024</t>
  </si>
  <si>
    <t>TSK-0224</t>
  </si>
  <si>
    <t>26-Apr-2024</t>
  </si>
  <si>
    <t>TSK-0312</t>
  </si>
  <si>
    <t>12/07/2024</t>
  </si>
  <si>
    <t>TSK-0034</t>
  </si>
  <si>
    <t>Design server configuration</t>
  </si>
  <si>
    <t>10-06-2024</t>
  </si>
  <si>
    <t>11-08-2024</t>
  </si>
  <si>
    <t>TSK-0214</t>
  </si>
  <si>
    <t>Configure training material</t>
  </si>
  <si>
    <t>2024-03-18</t>
  </si>
  <si>
    <t>2024-03-30</t>
  </si>
  <si>
    <t>TSK-0012</t>
  </si>
  <si>
    <t>09-14-2024</t>
  </si>
  <si>
    <t>09-11-2024</t>
  </si>
  <si>
    <t>TSK-0018</t>
  </si>
  <si>
    <t>Migrate vendor contract</t>
  </si>
  <si>
    <t>2024/09/13</t>
  </si>
  <si>
    <t>2024/09/29</t>
  </si>
  <si>
    <t>TSK-0169</t>
  </si>
  <si>
    <t>2024/05/06</t>
  </si>
  <si>
    <t>2024/05/18</t>
  </si>
  <si>
    <t>TSK-0134</t>
  </si>
  <si>
    <t>2024-09-08</t>
  </si>
  <si>
    <t>2024-09-22</t>
  </si>
  <si>
    <t>TSK-0025</t>
  </si>
  <si>
    <t>Develop security policy</t>
  </si>
  <si>
    <t>24-Jul-2024</t>
  </si>
  <si>
    <t>TSK-0246</t>
  </si>
  <si>
    <t>Deploy employee handbook</t>
  </si>
  <si>
    <t>13-May-2024</t>
  </si>
  <si>
    <t>06-Jun-2024</t>
  </si>
  <si>
    <t>TSK-0258</t>
  </si>
  <si>
    <t>2024-07-16</t>
  </si>
  <si>
    <t>2024-08-13</t>
  </si>
  <si>
    <t>2024-08-15</t>
  </si>
  <si>
    <t>TSK-0105</t>
  </si>
  <si>
    <t>Review security policy</t>
  </si>
  <si>
    <t>25/03/2024</t>
  </si>
  <si>
    <t>24/04/2024</t>
  </si>
  <si>
    <t>22/04/2024</t>
  </si>
  <si>
    <t>TSK-0274</t>
  </si>
  <si>
    <t>Audit network infrastructure</t>
  </si>
  <si>
    <t>2024/05/30</t>
  </si>
  <si>
    <t>TSK-0073</t>
  </si>
  <si>
    <t>2024/11/15</t>
  </si>
  <si>
    <t>2024/11/25</t>
  </si>
  <si>
    <t>TSK-0157</t>
  </si>
  <si>
    <t>Migrate customer feedback survey</t>
  </si>
  <si>
    <t>03-May-2024</t>
  </si>
  <si>
    <t>TSK-0040</t>
  </si>
  <si>
    <t>18-Nov-2024</t>
  </si>
  <si>
    <t>03-Dec-2024</t>
  </si>
  <si>
    <t>TSK-0099</t>
  </si>
  <si>
    <t>Test supplier list</t>
  </si>
  <si>
    <t xml:space="preserve"> Yasmin El-Sayed </t>
  </si>
  <si>
    <t>06-21-2024</t>
  </si>
  <si>
    <t>TSK-0197</t>
  </si>
  <si>
    <t>2024-06-14</t>
  </si>
  <si>
    <t>TSK-0311</t>
  </si>
  <si>
    <t>Approve inventory system</t>
  </si>
  <si>
    <t>26-Jul-2024</t>
  </si>
  <si>
    <t>10-Aug-2024</t>
  </si>
  <si>
    <t>08-Aug-2024</t>
  </si>
  <si>
    <t>TSK-0175</t>
  </si>
  <si>
    <t>Optimize network infrastructure</t>
  </si>
  <si>
    <t>05-Mar-2024</t>
  </si>
  <si>
    <t>19-Mar-2024</t>
  </si>
  <si>
    <t>TSK-0268</t>
  </si>
  <si>
    <t>08-18-2024</t>
  </si>
  <si>
    <t>08-30-2024</t>
  </si>
  <si>
    <t>TSK-0049</t>
  </si>
  <si>
    <t>Deploy budget report</t>
  </si>
  <si>
    <t>2024/06/26</t>
  </si>
  <si>
    <t>TSK-0199</t>
  </si>
  <si>
    <t>TSK-0033</t>
  </si>
  <si>
    <t>Install warehouse layout</t>
  </si>
  <si>
    <t>07/10/2024</t>
  </si>
  <si>
    <t>TSK-0165</t>
  </si>
  <si>
    <t>Plan supplier list</t>
  </si>
  <si>
    <t>03/08/2024</t>
  </si>
  <si>
    <t>TSK-0123</t>
  </si>
  <si>
    <t>05-08-2024</t>
  </si>
  <si>
    <t>06-02-2024</t>
  </si>
  <si>
    <t>TSK-0187</t>
  </si>
  <si>
    <t>Develop hardware setup</t>
  </si>
  <si>
    <t>03-Mar-2024</t>
  </si>
  <si>
    <t>TSK-0010</t>
  </si>
  <si>
    <t>2024-11-05</t>
  </si>
  <si>
    <t>2024-11-06</t>
  </si>
  <si>
    <t>TSK-0095</t>
  </si>
  <si>
    <t xml:space="preserve">Design onboarding process  </t>
  </si>
  <si>
    <t>2024/06/05</t>
  </si>
  <si>
    <t>TSK-0195</t>
  </si>
  <si>
    <t>Test warehouse layout</t>
  </si>
  <si>
    <t>23-Aug-2024</t>
  </si>
  <si>
    <t>29-Aug-2024</t>
  </si>
  <si>
    <t>TSK-0260</t>
  </si>
  <si>
    <t>TSK-0001</t>
  </si>
  <si>
    <t>Configure employee handbook</t>
  </si>
  <si>
    <t>11-Oct-2024</t>
  </si>
  <si>
    <t>29-Oct-2024</t>
  </si>
  <si>
    <t>TSK-0233</t>
  </si>
  <si>
    <t xml:space="preserve">Plan backup procedure  </t>
  </si>
  <si>
    <t>04-13-2024</t>
  </si>
  <si>
    <t>TSK-0188</t>
  </si>
  <si>
    <t>06-24-2024</t>
  </si>
  <si>
    <t>07-13-2024</t>
  </si>
  <si>
    <t>07-14-2024</t>
  </si>
  <si>
    <t>TSK-0135</t>
  </si>
  <si>
    <t>2024-08-27</t>
  </si>
  <si>
    <t>TSK-0152</t>
  </si>
  <si>
    <t>Approve backup procedure</t>
  </si>
  <si>
    <t>TSK-0231</t>
  </si>
  <si>
    <t>04-18-2024</t>
  </si>
  <si>
    <t>TSK-0314</t>
  </si>
  <si>
    <t xml:space="preserve">Analyze dashboard  </t>
  </si>
  <si>
    <t>13-Jun-2024</t>
  </si>
  <si>
    <t>TSK-0272</t>
  </si>
  <si>
    <t>03-22-2024</t>
  </si>
  <si>
    <t>04-20-2024</t>
  </si>
  <si>
    <t>TSK-0036</t>
  </si>
  <si>
    <t>01/11/2024</t>
  </si>
  <si>
    <t>12/11/2024</t>
  </si>
  <si>
    <t>18/11/2024</t>
  </si>
  <si>
    <t>TSK-0083</t>
  </si>
  <si>
    <t>Configure backup procedure</t>
  </si>
  <si>
    <t>2024/11/10</t>
  </si>
  <si>
    <t>2024/12/08</t>
  </si>
  <si>
    <t>2024/12/10</t>
  </si>
  <si>
    <t>TSK-0141</t>
  </si>
  <si>
    <t>05/06/2024</t>
  </si>
  <si>
    <t>25/06/2024</t>
  </si>
  <si>
    <t>TSK-0240</t>
  </si>
  <si>
    <t>04-29-2024</t>
  </si>
  <si>
    <t>04-30-2024</t>
  </si>
  <si>
    <t>TSK-0166</t>
  </si>
  <si>
    <t>2024/04/18</t>
  </si>
  <si>
    <t>2024/05/01</t>
  </si>
  <si>
    <t>TSK-0179</t>
  </si>
  <si>
    <t>06-Apr-2024</t>
  </si>
  <si>
    <t>30-Apr-2024</t>
  </si>
  <si>
    <t>TSK-0096</t>
  </si>
  <si>
    <t>04-06-2024</t>
  </si>
  <si>
    <t>04-16-2024</t>
  </si>
  <si>
    <t>TSK-0098</t>
  </si>
  <si>
    <t>Migrate marketing collateral</t>
  </si>
  <si>
    <t>2024-05-09</t>
  </si>
  <si>
    <t>TSK-0251</t>
  </si>
  <si>
    <t>01-May-2024</t>
  </si>
  <si>
    <t>TSK-0278</t>
  </si>
  <si>
    <t>2024/01/13</t>
  </si>
  <si>
    <t>2024/02/01</t>
  </si>
  <si>
    <t>2024/01/30</t>
  </si>
  <si>
    <t>TSK-0151</t>
  </si>
  <si>
    <t>07-Apr-2024</t>
  </si>
  <si>
    <t>28-Apr-2024</t>
  </si>
  <si>
    <t>TSK-0294</t>
  </si>
  <si>
    <t>16/08/2024</t>
  </si>
  <si>
    <t>05/09/2024</t>
  </si>
  <si>
    <t>TSK-0249</t>
  </si>
  <si>
    <t>2024-06-02</t>
  </si>
  <si>
    <t>TSK-0021</t>
  </si>
  <si>
    <t>Test dashboard</t>
  </si>
  <si>
    <t>01-Oct-2024</t>
  </si>
  <si>
    <t>TSK-0129</t>
  </si>
  <si>
    <t xml:space="preserve">Audit warehouse layout  </t>
  </si>
  <si>
    <t>TSK-0069</t>
  </si>
  <si>
    <t>2024/11/18</t>
  </si>
  <si>
    <t>TSK-0184</t>
  </si>
  <si>
    <t>Design quality checklist</t>
  </si>
  <si>
    <t>2024-04-15</t>
  </si>
  <si>
    <t>TSK-0194</t>
  </si>
  <si>
    <t>Develop network infrastructure</t>
  </si>
  <si>
    <t>20-Jun-2024</t>
  </si>
  <si>
    <t>23-Jun-2024</t>
  </si>
  <si>
    <t>TSK-0011</t>
  </si>
  <si>
    <t>2024/07/14</t>
  </si>
  <si>
    <t>TSK-0225</t>
  </si>
  <si>
    <t>2024-05-31</t>
  </si>
  <si>
    <t>2024-06-05</t>
  </si>
  <si>
    <t>TSK-0178</t>
  </si>
  <si>
    <t>TSK-0286</t>
  </si>
  <si>
    <t>14/04/2024</t>
  </si>
  <si>
    <t>06/05/2024</t>
  </si>
  <si>
    <t>TSK-0163</t>
  </si>
  <si>
    <t>2024-06-28</t>
  </si>
  <si>
    <t>2024-07-04</t>
  </si>
  <si>
    <t>TSK-0120</t>
  </si>
  <si>
    <t>Deploy server configuration</t>
  </si>
  <si>
    <t>2024-05-03</t>
  </si>
  <si>
    <t>TSK-0250</t>
  </si>
  <si>
    <t>Analyze vendor contract</t>
  </si>
  <si>
    <t xml:space="preserve"> Khaled Younes </t>
  </si>
  <si>
    <t>02-22-2024</t>
  </si>
  <si>
    <t>02-28-2024</t>
  </si>
  <si>
    <t>03-01-2024</t>
  </si>
  <si>
    <t>TSK-0065</t>
  </si>
  <si>
    <t>Configure budget report</t>
  </si>
  <si>
    <t>07/04/2024</t>
  </si>
  <si>
    <t>TSK-0055</t>
  </si>
  <si>
    <t>Approve customer feedback survey</t>
  </si>
  <si>
    <t>2024/07/20</t>
  </si>
  <si>
    <t>2024/08/13</t>
  </si>
  <si>
    <t>TSK-0275</t>
  </si>
  <si>
    <t xml:space="preserve"> Fady Hosny </t>
  </si>
  <si>
    <t>TSK-0079</t>
  </si>
  <si>
    <t>Approve server configuration</t>
  </si>
  <si>
    <t>22-Sep-2024</t>
  </si>
  <si>
    <t>27-Sep-2024</t>
  </si>
  <si>
    <t>TSK-0183</t>
  </si>
  <si>
    <t>2024-03-05</t>
  </si>
  <si>
    <t>2024-03-25</t>
  </si>
  <si>
    <t>2024-03-26</t>
  </si>
  <si>
    <t>TSK-0031</t>
  </si>
  <si>
    <t>2024-08-03</t>
  </si>
  <si>
    <t>2024-08-28</t>
  </si>
  <si>
    <t>TSK-0174</t>
  </si>
  <si>
    <t>2024/05/25</t>
  </si>
  <si>
    <t>TSK-0047</t>
  </si>
  <si>
    <t>03/07/2024</t>
  </si>
  <si>
    <t>26/07/2024</t>
  </si>
  <si>
    <t>TSK-0256</t>
  </si>
  <si>
    <t xml:space="preserve">Audit marketing collateral  </t>
  </si>
  <si>
    <t>08/05/2024</t>
  </si>
  <si>
    <t>05/05/2024</t>
  </si>
  <si>
    <t>TSK-0081</t>
  </si>
  <si>
    <t xml:space="preserve">Migrate backup procedure  </t>
  </si>
  <si>
    <t>2024/10/18</t>
  </si>
  <si>
    <t>2024/11/14</t>
  </si>
  <si>
    <t>TSK-0128</t>
  </si>
  <si>
    <t>Procure server configuration</t>
  </si>
  <si>
    <t>11-Jul-2024</t>
  </si>
  <si>
    <t>19-Jul-2024</t>
  </si>
  <si>
    <t>TSK-0046</t>
  </si>
  <si>
    <t>07-16-2024</t>
  </si>
  <si>
    <t>TSK-0191</t>
  </si>
  <si>
    <t>2024/06/28</t>
  </si>
  <si>
    <t>TSK-0080</t>
  </si>
  <si>
    <t>11-04-2024</t>
  </si>
  <si>
    <t>11-23-2024</t>
  </si>
  <si>
    <t>TSK-0306</t>
  </si>
  <si>
    <t>2024/07/16</t>
  </si>
  <si>
    <t>2024/07/22</t>
  </si>
  <si>
    <t>TSK-0244</t>
  </si>
  <si>
    <t>2024-02-28</t>
  </si>
  <si>
    <t>TSK-0298</t>
  </si>
  <si>
    <t>Design security policy</t>
  </si>
  <si>
    <t>2024-08-01</t>
  </si>
  <si>
    <t>2024-08-07</t>
  </si>
  <si>
    <t>TSK-0022</t>
  </si>
  <si>
    <t>Install user interface</t>
  </si>
  <si>
    <t>2024/08/31</t>
  </si>
  <si>
    <t>TSK-0005</t>
  </si>
  <si>
    <t>Install employee handbook</t>
  </si>
  <si>
    <t>2024-07-17</t>
  </si>
  <si>
    <t>2024-08-02</t>
  </si>
  <si>
    <t>TSK-0125</t>
  </si>
  <si>
    <t>TSK-0203</t>
  </si>
  <si>
    <t>Document database schema</t>
  </si>
  <si>
    <t>2024/08/03</t>
  </si>
  <si>
    <t>TSK-0062</t>
  </si>
  <si>
    <t xml:space="preserve">Review network infrastructure  </t>
  </si>
  <si>
    <t xml:space="preserve"> Yasmin Zaki </t>
  </si>
  <si>
    <t>16-May-2024</t>
  </si>
  <si>
    <t>TSK-0300</t>
  </si>
  <si>
    <t>08-31-2024</t>
  </si>
  <si>
    <t>09-24-2024</t>
  </si>
  <si>
    <t>TSK-0142</t>
  </si>
  <si>
    <t>22/09/2024</t>
  </si>
  <si>
    <t>02/10/2024</t>
  </si>
  <si>
    <t>TSK-0086</t>
  </si>
  <si>
    <t>Audit employee handbook</t>
  </si>
  <si>
    <t>2024-09-19</t>
  </si>
  <si>
    <t>2024-10-01</t>
  </si>
  <si>
    <t>TSK-0008</t>
  </si>
  <si>
    <t>Approve vendor contract</t>
  </si>
  <si>
    <t>29/06/2024</t>
  </si>
  <si>
    <t>21/07/2024</t>
  </si>
  <si>
    <t>TSK-0167</t>
  </si>
  <si>
    <t>2024/06/23</t>
  </si>
  <si>
    <t>TSK-0223</t>
  </si>
  <si>
    <t>Design training material</t>
  </si>
  <si>
    <t>2024/03/12</t>
  </si>
  <si>
    <t>TSK-0121</t>
  </si>
  <si>
    <t>07-10-2024</t>
  </si>
  <si>
    <t>07-23-2024</t>
  </si>
  <si>
    <t>Note: this sheet is the RAW export on purpose — inconsistent text, mixed date formats, duplicates, blanks and a few test rows are intentional. Do not edit it; clean it in Power Query.</t>
  </si>
  <si>
    <t>Load your cleaned Power Query output table here (Excel Table: tbl_Tasks_Clean).</t>
  </si>
  <si>
    <t>Excel project: Power Query · Excel Functions · PivotTables · Power Pivot (Data Model + DAX) · Dashboard</t>
  </si>
  <si>
    <t>Planned_Duration_Days</t>
  </si>
  <si>
    <t>Delay_Days</t>
  </si>
  <si>
    <t>Quality</t>
  </si>
  <si>
    <t>Migrate API integration</t>
  </si>
  <si>
    <t>Optimize customer feedback survey</t>
  </si>
  <si>
    <t>Test marketing collateral</t>
  </si>
  <si>
    <t>Unassigned</t>
  </si>
  <si>
    <t>Train users on employee handbook</t>
  </si>
  <si>
    <t>Plan server configuration</t>
  </si>
  <si>
    <t>Train users on dashboard</t>
  </si>
  <si>
    <t>Not Set</t>
  </si>
  <si>
    <t>Install backup procedure</t>
  </si>
  <si>
    <t>Design user interface</t>
  </si>
  <si>
    <t>Audit onboarding process</t>
  </si>
  <si>
    <t>Document network infrastructure</t>
  </si>
  <si>
    <t>Plan dashboard</t>
  </si>
  <si>
    <t>Analyze dashboard</t>
  </si>
  <si>
    <t>Employee_Department</t>
  </si>
  <si>
    <t>Cost_Variance</t>
  </si>
  <si>
    <t>Cost_Variance_%</t>
  </si>
  <si>
    <t>On_Flag</t>
  </si>
  <si>
    <t>Task_Age_Category</t>
  </si>
  <si>
    <t>Manager_Lookup</t>
  </si>
  <si>
    <t xml:space="preserve">    Department</t>
  </si>
  <si>
    <t>Delayed_Task_Count</t>
  </si>
  <si>
    <t xml:space="preserve"> Finance </t>
  </si>
  <si>
    <t xml:space="preserve"> Marketing</t>
  </si>
  <si>
    <t>Completed_Actual_Cost</t>
  </si>
  <si>
    <t>Avg_Delay_Completed</t>
  </si>
  <si>
    <t>Avg_Delay_Delayed</t>
  </si>
  <si>
    <t>Delay_Description</t>
  </si>
  <si>
    <t>Row Labels</t>
  </si>
  <si>
    <t>Grand Total</t>
  </si>
  <si>
    <t>Sum of Planned_Cost</t>
  </si>
  <si>
    <t>Sum of Actual_Cost</t>
  </si>
  <si>
    <t>(blank)</t>
  </si>
  <si>
    <t>Column Labels</t>
  </si>
  <si>
    <t>Count of Task_ID</t>
  </si>
  <si>
    <t>Average of Delay_Days</t>
  </si>
  <si>
    <t>Total Planned Cost</t>
  </si>
  <si>
    <t>Total Actual Cost</t>
  </si>
  <si>
    <t>Cost Variance %</t>
  </si>
  <si>
    <t>Total Total Planned Cost</t>
  </si>
  <si>
    <t>Total Total Actual Cost</t>
  </si>
  <si>
    <t>Total Cost Variance %</t>
  </si>
  <si>
    <t>Total On-Time Completion Rate</t>
  </si>
  <si>
    <t>On-Time Completion Rate</t>
  </si>
  <si>
    <t>On-Tme Completion Rate</t>
  </si>
  <si>
    <t>PMO Project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</si>
</sst>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
    <numFmt numFmtId="170" formatCode="&quot;$&quot;#,##0.00"/>
    <numFmt numFmtId="171" formatCode="0.0"/>
  </numFmts>
  <fonts count="17" x14ac:knownFonts="1">
    <font>
      <sz val="11"/>
      <color theme="1"/>
      <name val="Calibri"/>
      <family val="2"/>
      <charset val="1"/>
    </font>
    <font>
      <b/>
      <sz val="18"/>
      <color rgb="FF1F3864"/>
      <name val="Arial"/>
      <charset val="1"/>
    </font>
    <font>
      <i/>
      <sz val="11"/>
      <color rgb="FF595959"/>
      <name val="Arial"/>
      <charset val="1"/>
    </font>
    <font>
      <b/>
      <sz val="11"/>
      <color rgb="FF1F3864"/>
      <name val="Arial"/>
      <charset val="1"/>
    </font>
    <font>
      <sz val="10.5"/>
      <color rgb="FF262626"/>
      <name val="Arial"/>
      <charset val="1"/>
    </font>
    <font>
      <b/>
      <sz val="10.5"/>
      <name val="Arial"/>
      <charset val="1"/>
    </font>
    <font>
      <b/>
      <sz val="13"/>
      <color rgb="FFFFFFFF"/>
      <name val="Arial"/>
      <charset val="1"/>
    </font>
    <font>
      <b/>
      <sz val="10.5"/>
      <color rgb="FF2E74B5"/>
      <name val="Arial"/>
      <charset val="1"/>
    </font>
    <font>
      <b/>
      <sz val="11"/>
      <color rgb="FFFFFFFF"/>
      <name val="Arial"/>
      <charset val="1"/>
    </font>
    <font>
      <i/>
      <sz val="9.5"/>
      <color rgb="FFC00000"/>
      <name val="Arial"/>
      <charset val="1"/>
    </font>
    <font>
      <i/>
      <sz val="12"/>
      <color rgb="FF808080"/>
      <name val="Arial"/>
      <charset val="1"/>
    </font>
    <font>
      <sz val="8"/>
      <name val="Calibri"/>
      <family val="2"/>
      <charset val="1"/>
    </font>
    <font>
      <sz val="11"/>
      <color theme="1"/>
      <name val="Calibri"/>
      <family val="2"/>
      <charset val="1"/>
    </font>
    <font>
      <i/>
      <sz val="11"/>
      <color theme="1" tint="0.34998626667073579"/>
      <name val="Arial"/>
      <family val="2"/>
    </font>
    <font>
      <b/>
      <sz val="24"/>
      <color theme="1"/>
      <name val="Calibri"/>
      <family val="2"/>
    </font>
    <font>
      <i/>
      <sz val="12"/>
      <color theme="1" tint="0.34998626667073579"/>
      <name val="Calibri"/>
      <family val="2"/>
    </font>
    <font>
      <b/>
      <sz val="36"/>
      <color theme="4" tint="-0.499984740745262"/>
      <name val="Calibri"/>
      <family val="2"/>
    </font>
  </fonts>
  <fills count="6">
    <fill>
      <patternFill patternType="none"/>
    </fill>
    <fill>
      <patternFill patternType="gray125"/>
    </fill>
    <fill>
      <patternFill patternType="solid">
        <fgColor rgb="FF2E74B5"/>
        <bgColor rgb="FF0066CC"/>
      </patternFill>
    </fill>
    <fill>
      <patternFill patternType="solid">
        <fgColor rgb="FF1F3864"/>
        <bgColor rgb="FF333399"/>
      </patternFill>
    </fill>
    <fill>
      <patternFill patternType="solid">
        <fgColor rgb="FFF2F2F2"/>
        <bgColor rgb="FFFFFFFF"/>
      </patternFill>
    </fill>
    <fill>
      <patternFill patternType="solid">
        <fgColor theme="5" tint="0.79998168889431442"/>
        <bgColor indexed="64"/>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s>
  <cellStyleXfs count="2">
    <xf numFmtId="0" fontId="0" fillId="0" borderId="0"/>
    <xf numFmtId="9" fontId="12" fillId="0" borderId="0" applyFont="0" applyFill="0" applyBorder="0" applyAlignment="0" applyProtection="0"/>
  </cellStyleXfs>
  <cellXfs count="42">
    <xf numFmtId="0" fontId="0" fillId="0" borderId="0" xfId="0"/>
    <xf numFmtId="0" fontId="3" fillId="0" borderId="0" xfId="0" applyFont="1"/>
    <xf numFmtId="0" fontId="5" fillId="0" borderId="0" xfId="0" applyFont="1"/>
    <xf numFmtId="0" fontId="7" fillId="0" borderId="0" xfId="0" applyFont="1"/>
    <xf numFmtId="0" fontId="8" fillId="3" borderId="1" xfId="0" applyFont="1" applyFill="1" applyBorder="1" applyAlignment="1">
      <alignment horizontal="center" vertical="center" wrapText="1"/>
    </xf>
    <xf numFmtId="0" fontId="4" fillId="4" borderId="1" xfId="0" applyFont="1" applyFill="1" applyBorder="1"/>
    <xf numFmtId="164" fontId="4" fillId="4" borderId="1" xfId="0" applyNumberFormat="1" applyFont="1" applyFill="1" applyBorder="1"/>
    <xf numFmtId="165" fontId="4" fillId="4" borderId="1" xfId="0" applyNumberFormat="1" applyFont="1" applyFill="1" applyBorder="1"/>
    <xf numFmtId="0" fontId="4" fillId="0" borderId="1" xfId="0" applyFont="1" applyBorder="1"/>
    <xf numFmtId="164" fontId="4" fillId="0" borderId="1" xfId="0" applyNumberFormat="1" applyFont="1" applyBorder="1"/>
    <xf numFmtId="165" fontId="4" fillId="0" borderId="1" xfId="0" applyNumberFormat="1" applyFont="1" applyBorder="1"/>
    <xf numFmtId="0" fontId="10" fillId="0" borderId="0" xfId="0" applyFont="1"/>
    <xf numFmtId="0" fontId="4" fillId="4" borderId="2" xfId="0" applyFont="1" applyFill="1" applyBorder="1"/>
    <xf numFmtId="0" fontId="4" fillId="0" borderId="2" xfId="0" applyFont="1" applyBorder="1"/>
    <xf numFmtId="0" fontId="4" fillId="4" borderId="3" xfId="0" applyFont="1" applyFill="1" applyBorder="1"/>
    <xf numFmtId="0" fontId="4" fillId="0" borderId="3" xfId="0" applyFont="1" applyBorder="1"/>
    <xf numFmtId="0" fontId="8" fillId="3" borderId="4"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4" fillId="0" borderId="7" xfId="0" applyFont="1" applyBorder="1"/>
    <xf numFmtId="0" fontId="4" fillId="0" borderId="8" xfId="0" applyFont="1" applyBorder="1"/>
    <xf numFmtId="0" fontId="4" fillId="0" borderId="9" xfId="0" applyFont="1" applyBorder="1"/>
    <xf numFmtId="14" fontId="0" fillId="0" borderId="0" xfId="0" applyNumberFormat="1"/>
    <xf numFmtId="0" fontId="1" fillId="0" borderId="0" xfId="0" applyFont="1"/>
    <xf numFmtId="0" fontId="2" fillId="0" borderId="0" xfId="0" applyFont="1"/>
    <xf numFmtId="0" fontId="4" fillId="0" borderId="0" xfId="0" applyFont="1" applyAlignment="1">
      <alignment vertical="top" wrapText="1"/>
    </xf>
    <xf numFmtId="0" fontId="4" fillId="0" borderId="0" xfId="0" applyFont="1"/>
    <xf numFmtId="0" fontId="6" fillId="2" borderId="0" xfId="0" applyFont="1" applyFill="1"/>
    <xf numFmtId="0" fontId="9" fillId="0" borderId="0" xfId="0" applyFont="1"/>
    <xf numFmtId="0" fontId="0" fillId="0" borderId="0" xfId="0" applyNumberFormat="1"/>
    <xf numFmtId="9" fontId="0" fillId="0" borderId="0" xfId="1" applyFont="1"/>
    <xf numFmtId="0" fontId="0" fillId="0" borderId="0" xfId="0" applyAlignment="1">
      <alignment wrapText="1"/>
    </xf>
    <xf numFmtId="0" fontId="0" fillId="0" borderId="0" xfId="0" pivotButton="1"/>
    <xf numFmtId="0" fontId="0" fillId="0" borderId="0" xfId="0" applyAlignment="1">
      <alignment horizontal="left"/>
    </xf>
    <xf numFmtId="170" fontId="0" fillId="0" borderId="0" xfId="0" applyNumberFormat="1"/>
    <xf numFmtId="171" fontId="0" fillId="0" borderId="0" xfId="0" applyNumberFormat="1"/>
    <xf numFmtId="9" fontId="0" fillId="0" borderId="0" xfId="0" applyNumberFormat="1"/>
    <xf numFmtId="0" fontId="13" fillId="5" borderId="10" xfId="0" applyFont="1" applyFill="1" applyBorder="1"/>
    <xf numFmtId="0" fontId="14" fillId="5" borderId="11" xfId="0" applyFont="1" applyFill="1" applyBorder="1"/>
    <xf numFmtId="0" fontId="15" fillId="5" borderId="10" xfId="0" applyFont="1" applyFill="1" applyBorder="1"/>
    <xf numFmtId="9" fontId="14" fillId="5" borderId="11" xfId="1" applyFont="1" applyFill="1" applyBorder="1"/>
    <xf numFmtId="0" fontId="16" fillId="0" borderId="0" xfId="0" applyFont="1"/>
  </cellXfs>
  <cellStyles count="2">
    <cellStyle name="Normal" xfId="0" builtinId="0"/>
    <cellStyle name="Percent" xfId="1" builtinId="5"/>
  </cellStyles>
  <dxfs count="414">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charset val="1"/>
        <scheme val="none"/>
      </font>
    </dxf>
    <dxf>
      <numFmt numFmtId="0" formatCode="General"/>
    </dxf>
    <dxf>
      <numFmt numFmtId="19" formatCode="m/d/yyyy"/>
    </dxf>
    <dxf>
      <numFmt numFmtId="19" formatCode="m/d/yyyy"/>
    </dxf>
    <dxf>
      <numFmt numFmtId="19" formatCode="m/d/yyyy"/>
    </dxf>
    <dxf>
      <numFmt numFmtId="19" formatCode="m/d/yyyy"/>
    </dxf>
    <dxf>
      <numFmt numFmtId="170" formatCode="&quot;$&quot;#,##0.00"/>
    </dxf>
    <dxf>
      <numFmt numFmtId="170" formatCode="&quot;$&quot;#,##0.00"/>
    </dxf>
    <dxf>
      <numFmt numFmtId="170" formatCode="&quot;$&quot;#,##0.00"/>
    </dxf>
    <dxf>
      <numFmt numFmtId="170" formatCode="&quot;$&quot;#,##0.00"/>
    </dxf>
    <dxf>
      <numFmt numFmtId="170" formatCode="&quot;$&quot;#,##0.00"/>
    </dxf>
    <dxf>
      <numFmt numFmtId="170" formatCode="&quot;$&quot;#,##0.00"/>
    </dxf>
    <dxf>
      <numFmt numFmtId="0" formatCode="General"/>
    </dxf>
    <dxf>
      <font>
        <b val="0"/>
        <i val="0"/>
        <strike val="0"/>
        <condense val="0"/>
        <extend val="0"/>
        <outline val="0"/>
        <shadow val="0"/>
        <u val="none"/>
        <vertAlign val="baseline"/>
        <sz val="10.5"/>
        <color rgb="FF262626"/>
        <name val="Arial"/>
        <charset val="1"/>
        <scheme val="none"/>
      </font>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5"/>
        <color rgb="FF262626"/>
        <name val="Arial"/>
        <charset val="1"/>
        <scheme val="none"/>
      </font>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5"/>
        <color rgb="FF262626"/>
        <name val="Arial"/>
        <charset val="1"/>
        <scheme val="none"/>
      </font>
    </dxf>
    <dxf>
      <border outline="0">
        <bottom style="thin">
          <color rgb="FFBFBFBF"/>
        </bottom>
      </border>
    </dxf>
    <dxf>
      <font>
        <b/>
        <i val="0"/>
        <strike val="0"/>
        <condense val="0"/>
        <extend val="0"/>
        <outline val="0"/>
        <shadow val="0"/>
        <u val="none"/>
        <vertAlign val="baseline"/>
        <sz val="11"/>
        <color rgb="FFFFFFFF"/>
        <name val="Arial"/>
        <charset val="1"/>
        <scheme val="none"/>
      </font>
      <fill>
        <patternFill patternType="solid">
          <fgColor rgb="FF333399"/>
          <bgColor rgb="FF1F386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2E74B5"/>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26262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theme" Target="theme/theme1.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haredStrings" Target="sharedString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connections" Target="connections.xml"/><Relationship Id="rId31" Type="http://schemas.openxmlformats.org/officeDocument/2006/relationships/customXml" Target="../customXml/item7.xml"/><Relationship Id="rId44" Type="http://schemas.openxmlformats.org/officeDocument/2006/relationships/customXml" Target="../customXml/item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heetMetadata" Target="metadata.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microsoft.com/office/2007/relationships/slicerCache" Target="slicerCaches/slicerCache3.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 work final.xlsx]PivotTables!PivotTable3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Planned vs Actual Cost by Project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PivotTables!$B$1</c:f>
              <c:strCache>
                <c:ptCount val="1"/>
                <c:pt idx="0">
                  <c:v>Sum of Planned_Cost</c:v>
                </c:pt>
              </c:strCache>
            </c:strRef>
          </c:tx>
          <c:spPr>
            <a:solidFill>
              <a:schemeClr val="accent1"/>
            </a:solidFill>
            <a:ln>
              <a:noFill/>
            </a:ln>
            <a:effectLst/>
          </c:spPr>
          <c:invertIfNegative val="0"/>
          <c:cat>
            <c:strRef>
              <c:f>PivotTables!$A$2:$A$17</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PivotTables!$B$2:$B$17</c:f>
              <c:numCache>
                <c:formatCode>"$"#,##0.00</c:formatCode>
                <c:ptCount val="15"/>
                <c:pt idx="0">
                  <c:v>70000</c:v>
                </c:pt>
                <c:pt idx="1">
                  <c:v>66000</c:v>
                </c:pt>
                <c:pt idx="2">
                  <c:v>109500</c:v>
                </c:pt>
                <c:pt idx="3">
                  <c:v>85500</c:v>
                </c:pt>
                <c:pt idx="4">
                  <c:v>90000</c:v>
                </c:pt>
                <c:pt idx="5">
                  <c:v>97500</c:v>
                </c:pt>
                <c:pt idx="6">
                  <c:v>112000</c:v>
                </c:pt>
                <c:pt idx="7">
                  <c:v>106000</c:v>
                </c:pt>
                <c:pt idx="8">
                  <c:v>110000</c:v>
                </c:pt>
                <c:pt idx="9">
                  <c:v>93000</c:v>
                </c:pt>
                <c:pt idx="10">
                  <c:v>85500</c:v>
                </c:pt>
                <c:pt idx="11">
                  <c:v>93000</c:v>
                </c:pt>
                <c:pt idx="12">
                  <c:v>74000</c:v>
                </c:pt>
                <c:pt idx="13">
                  <c:v>78500</c:v>
                </c:pt>
                <c:pt idx="14">
                  <c:v>53000</c:v>
                </c:pt>
              </c:numCache>
            </c:numRef>
          </c:val>
          <c:extLst>
            <c:ext xmlns:c16="http://schemas.microsoft.com/office/drawing/2014/chart" uri="{C3380CC4-5D6E-409C-BE32-E72D297353CC}">
              <c16:uniqueId val="{00000000-16DE-4367-8B32-C8785EDB4946}"/>
            </c:ext>
          </c:extLst>
        </c:ser>
        <c:ser>
          <c:idx val="1"/>
          <c:order val="1"/>
          <c:tx>
            <c:strRef>
              <c:f>PivotTables!$C$1</c:f>
              <c:strCache>
                <c:ptCount val="1"/>
                <c:pt idx="0">
                  <c:v>Sum of Actual_Cost</c:v>
                </c:pt>
              </c:strCache>
            </c:strRef>
          </c:tx>
          <c:spPr>
            <a:solidFill>
              <a:schemeClr val="accent2"/>
            </a:solidFill>
            <a:ln>
              <a:noFill/>
            </a:ln>
            <a:effectLst/>
          </c:spPr>
          <c:invertIfNegative val="0"/>
          <c:cat>
            <c:strRef>
              <c:f>PivotTables!$A$2:$A$17</c:f>
              <c:strCache>
                <c:ptCount val="15"/>
                <c:pt idx="0">
                  <c:v>Brand Refresh Campaign</c:v>
                </c:pt>
                <c:pt idx="1">
                  <c:v>Cloud Migration</c:v>
                </c:pt>
                <c:pt idx="2">
                  <c:v>CRM Migration</c:v>
                </c:pt>
                <c:pt idx="3">
                  <c:v>Customer Portal Upgrade</c:v>
                </c:pt>
                <c:pt idx="4">
                  <c:v>Data Center Upgrade</c:v>
                </c:pt>
                <c:pt idx="5">
                  <c:v>ERP System Rollout</c:v>
                </c:pt>
                <c:pt idx="6">
                  <c:v>HR System Implementation</c:v>
                </c:pt>
                <c:pt idx="7">
                  <c:v>Mobile App Launch</c:v>
                </c:pt>
                <c:pt idx="8">
                  <c:v>Network Security Overhaul</c:v>
                </c:pt>
                <c:pt idx="9">
                  <c:v>Office Relocation</c:v>
                </c:pt>
                <c:pt idx="10">
                  <c:v>Product Line Expansion</c:v>
                </c:pt>
                <c:pt idx="11">
                  <c:v>Retail Store Opening</c:v>
                </c:pt>
                <c:pt idx="12">
                  <c:v>Supply Chain Optimization</c:v>
                </c:pt>
                <c:pt idx="13">
                  <c:v>Warehouse Automation</c:v>
                </c:pt>
                <c:pt idx="14">
                  <c:v>Website Redesign</c:v>
                </c:pt>
              </c:strCache>
            </c:strRef>
          </c:cat>
          <c:val>
            <c:numRef>
              <c:f>PivotTables!$C$2:$C$17</c:f>
              <c:numCache>
                <c:formatCode>"$"#,##0.00</c:formatCode>
                <c:ptCount val="15"/>
                <c:pt idx="0">
                  <c:v>48164</c:v>
                </c:pt>
                <c:pt idx="1">
                  <c:v>49405</c:v>
                </c:pt>
                <c:pt idx="2">
                  <c:v>73502</c:v>
                </c:pt>
                <c:pt idx="3">
                  <c:v>65762</c:v>
                </c:pt>
                <c:pt idx="4">
                  <c:v>74295</c:v>
                </c:pt>
                <c:pt idx="5">
                  <c:v>71644</c:v>
                </c:pt>
                <c:pt idx="6">
                  <c:v>74792</c:v>
                </c:pt>
                <c:pt idx="7">
                  <c:v>90358</c:v>
                </c:pt>
                <c:pt idx="8">
                  <c:v>65885</c:v>
                </c:pt>
                <c:pt idx="9">
                  <c:v>74881</c:v>
                </c:pt>
                <c:pt idx="10">
                  <c:v>46665</c:v>
                </c:pt>
                <c:pt idx="11">
                  <c:v>58608</c:v>
                </c:pt>
                <c:pt idx="12">
                  <c:v>53913</c:v>
                </c:pt>
                <c:pt idx="13">
                  <c:v>67742</c:v>
                </c:pt>
                <c:pt idx="14">
                  <c:v>38606</c:v>
                </c:pt>
              </c:numCache>
            </c:numRef>
          </c:val>
          <c:extLst>
            <c:ext xmlns:c16="http://schemas.microsoft.com/office/drawing/2014/chart" uri="{C3380CC4-5D6E-409C-BE32-E72D297353CC}">
              <c16:uniqueId val="{00000001-16DE-4367-8B32-C8785EDB4946}"/>
            </c:ext>
          </c:extLst>
        </c:ser>
        <c:dLbls>
          <c:showLegendKey val="0"/>
          <c:showVal val="0"/>
          <c:showCatName val="0"/>
          <c:showSerName val="0"/>
          <c:showPercent val="0"/>
          <c:showBubbleSize val="0"/>
        </c:dLbls>
        <c:gapWidth val="219"/>
        <c:overlap val="-27"/>
        <c:axId val="925505568"/>
        <c:axId val="922860400"/>
      </c:barChart>
      <c:catAx>
        <c:axId val="92550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860400"/>
        <c:crosses val="autoZero"/>
        <c:auto val="1"/>
        <c:lblAlgn val="ctr"/>
        <c:lblOffset val="100"/>
        <c:noMultiLvlLbl val="0"/>
      </c:catAx>
      <c:valAx>
        <c:axId val="9228604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505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 work final.xlsx]PivotTables!PivotTable4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Task Status by Department</a:t>
            </a:r>
            <a:endParaRPr lang="en-US">
              <a:solidFill>
                <a:schemeClr val="tx1"/>
              </a:solidFill>
            </a:endParaRPr>
          </a:p>
        </c:rich>
      </c:tx>
      <c:layout>
        <c:manualLayout>
          <c:xMode val="edge"/>
          <c:yMode val="edge"/>
          <c:x val="0.27990518058522812"/>
          <c:y val="0.130314266745423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PivotTables!$B$20:$B$21</c:f>
              <c:strCache>
                <c:ptCount val="1"/>
                <c:pt idx="0">
                  <c:v>Behind Schedule</c:v>
                </c:pt>
              </c:strCache>
            </c:strRef>
          </c:tx>
          <c:spPr>
            <a:solidFill>
              <a:schemeClr val="accent1"/>
            </a:solidFill>
            <a:ln>
              <a:noFill/>
            </a:ln>
            <a:effectLst/>
          </c:spPr>
          <c:invertIfNegative val="0"/>
          <c:cat>
            <c:strRef>
              <c:f>PivotTables!$A$22:$A$26</c:f>
              <c:strCache>
                <c:ptCount val="4"/>
                <c:pt idx="0">
                  <c:v>HR</c:v>
                </c:pt>
                <c:pt idx="1">
                  <c:v>IT</c:v>
                </c:pt>
                <c:pt idx="2">
                  <c:v>Marketing</c:v>
                </c:pt>
                <c:pt idx="3">
                  <c:v>Procurement</c:v>
                </c:pt>
              </c:strCache>
            </c:strRef>
          </c:cat>
          <c:val>
            <c:numRef>
              <c:f>PivotTables!$B$22:$B$26</c:f>
              <c:numCache>
                <c:formatCode>General</c:formatCode>
                <c:ptCount val="4"/>
                <c:pt idx="0">
                  <c:v>1</c:v>
                </c:pt>
                <c:pt idx="1">
                  <c:v>2</c:v>
                </c:pt>
                <c:pt idx="2">
                  <c:v>1</c:v>
                </c:pt>
              </c:numCache>
            </c:numRef>
          </c:val>
          <c:extLst>
            <c:ext xmlns:c16="http://schemas.microsoft.com/office/drawing/2014/chart" uri="{C3380CC4-5D6E-409C-BE32-E72D297353CC}">
              <c16:uniqueId val="{00000000-62C3-4386-AE1D-BD6292718C9E}"/>
            </c:ext>
          </c:extLst>
        </c:ser>
        <c:ser>
          <c:idx val="1"/>
          <c:order val="1"/>
          <c:tx>
            <c:strRef>
              <c:f>PivotTables!$C$20:$C$21</c:f>
              <c:strCache>
                <c:ptCount val="1"/>
                <c:pt idx="0">
                  <c:v>Completed</c:v>
                </c:pt>
              </c:strCache>
            </c:strRef>
          </c:tx>
          <c:spPr>
            <a:solidFill>
              <a:schemeClr val="accent2"/>
            </a:solidFill>
            <a:ln>
              <a:noFill/>
            </a:ln>
            <a:effectLst/>
          </c:spPr>
          <c:invertIfNegative val="0"/>
          <c:cat>
            <c:strRef>
              <c:f>PivotTables!$A$22:$A$26</c:f>
              <c:strCache>
                <c:ptCount val="4"/>
                <c:pt idx="0">
                  <c:v>HR</c:v>
                </c:pt>
                <c:pt idx="1">
                  <c:v>IT</c:v>
                </c:pt>
                <c:pt idx="2">
                  <c:v>Marketing</c:v>
                </c:pt>
                <c:pt idx="3">
                  <c:v>Procurement</c:v>
                </c:pt>
              </c:strCache>
            </c:strRef>
          </c:cat>
          <c:val>
            <c:numRef>
              <c:f>PivotTables!$C$22:$C$26</c:f>
              <c:numCache>
                <c:formatCode>General</c:formatCode>
                <c:ptCount val="4"/>
                <c:pt idx="0">
                  <c:v>13</c:v>
                </c:pt>
                <c:pt idx="1">
                  <c:v>19</c:v>
                </c:pt>
                <c:pt idx="2">
                  <c:v>13</c:v>
                </c:pt>
                <c:pt idx="3">
                  <c:v>13</c:v>
                </c:pt>
              </c:numCache>
            </c:numRef>
          </c:val>
          <c:extLst>
            <c:ext xmlns:c16="http://schemas.microsoft.com/office/drawing/2014/chart" uri="{C3380CC4-5D6E-409C-BE32-E72D297353CC}">
              <c16:uniqueId val="{0000000B-62C3-4386-AE1D-BD6292718C9E}"/>
            </c:ext>
          </c:extLst>
        </c:ser>
        <c:ser>
          <c:idx val="2"/>
          <c:order val="2"/>
          <c:tx>
            <c:strRef>
              <c:f>PivotTables!$D$20:$D$21</c:f>
              <c:strCache>
                <c:ptCount val="1"/>
                <c:pt idx="0">
                  <c:v>Delayed</c:v>
                </c:pt>
              </c:strCache>
            </c:strRef>
          </c:tx>
          <c:spPr>
            <a:solidFill>
              <a:schemeClr val="accent3"/>
            </a:solidFill>
            <a:ln>
              <a:noFill/>
            </a:ln>
            <a:effectLst/>
          </c:spPr>
          <c:invertIfNegative val="0"/>
          <c:cat>
            <c:strRef>
              <c:f>PivotTables!$A$22:$A$26</c:f>
              <c:strCache>
                <c:ptCount val="4"/>
                <c:pt idx="0">
                  <c:v>HR</c:v>
                </c:pt>
                <c:pt idx="1">
                  <c:v>IT</c:v>
                </c:pt>
                <c:pt idx="2">
                  <c:v>Marketing</c:v>
                </c:pt>
                <c:pt idx="3">
                  <c:v>Procurement</c:v>
                </c:pt>
              </c:strCache>
            </c:strRef>
          </c:cat>
          <c:val>
            <c:numRef>
              <c:f>PivotTables!$D$22:$D$26</c:f>
              <c:numCache>
                <c:formatCode>General</c:formatCode>
                <c:ptCount val="4"/>
                <c:pt idx="0">
                  <c:v>5</c:v>
                </c:pt>
                <c:pt idx="1">
                  <c:v>7</c:v>
                </c:pt>
                <c:pt idx="2">
                  <c:v>7</c:v>
                </c:pt>
                <c:pt idx="3">
                  <c:v>6</c:v>
                </c:pt>
              </c:numCache>
            </c:numRef>
          </c:val>
          <c:extLst>
            <c:ext xmlns:c16="http://schemas.microsoft.com/office/drawing/2014/chart" uri="{C3380CC4-5D6E-409C-BE32-E72D297353CC}">
              <c16:uniqueId val="{0000000C-62C3-4386-AE1D-BD6292718C9E}"/>
            </c:ext>
          </c:extLst>
        </c:ser>
        <c:ser>
          <c:idx val="3"/>
          <c:order val="3"/>
          <c:tx>
            <c:strRef>
              <c:f>PivotTables!$E$20:$E$21</c:f>
              <c:strCache>
                <c:ptCount val="1"/>
                <c:pt idx="0">
                  <c:v>Done</c:v>
                </c:pt>
              </c:strCache>
            </c:strRef>
          </c:tx>
          <c:spPr>
            <a:solidFill>
              <a:schemeClr val="accent4"/>
            </a:solidFill>
            <a:ln>
              <a:noFill/>
            </a:ln>
            <a:effectLst/>
          </c:spPr>
          <c:invertIfNegative val="0"/>
          <c:cat>
            <c:strRef>
              <c:f>PivotTables!$A$22:$A$26</c:f>
              <c:strCache>
                <c:ptCount val="4"/>
                <c:pt idx="0">
                  <c:v>HR</c:v>
                </c:pt>
                <c:pt idx="1">
                  <c:v>IT</c:v>
                </c:pt>
                <c:pt idx="2">
                  <c:v>Marketing</c:v>
                </c:pt>
                <c:pt idx="3">
                  <c:v>Procurement</c:v>
                </c:pt>
              </c:strCache>
            </c:strRef>
          </c:cat>
          <c:val>
            <c:numRef>
              <c:f>PivotTables!$E$22:$E$26</c:f>
              <c:numCache>
                <c:formatCode>General</c:formatCode>
                <c:ptCount val="4"/>
                <c:pt idx="0">
                  <c:v>3</c:v>
                </c:pt>
                <c:pt idx="1">
                  <c:v>5</c:v>
                </c:pt>
                <c:pt idx="2">
                  <c:v>4</c:v>
                </c:pt>
                <c:pt idx="3">
                  <c:v>2</c:v>
                </c:pt>
              </c:numCache>
            </c:numRef>
          </c:val>
          <c:extLst>
            <c:ext xmlns:c16="http://schemas.microsoft.com/office/drawing/2014/chart" uri="{C3380CC4-5D6E-409C-BE32-E72D297353CC}">
              <c16:uniqueId val="{0000000D-62C3-4386-AE1D-BD6292718C9E}"/>
            </c:ext>
          </c:extLst>
        </c:ser>
        <c:ser>
          <c:idx val="4"/>
          <c:order val="4"/>
          <c:tx>
            <c:strRef>
              <c:f>PivotTables!$F$20:$F$21</c:f>
              <c:strCache>
                <c:ptCount val="1"/>
                <c:pt idx="0">
                  <c:v>In Progress</c:v>
                </c:pt>
              </c:strCache>
            </c:strRef>
          </c:tx>
          <c:spPr>
            <a:solidFill>
              <a:schemeClr val="accent5"/>
            </a:solidFill>
            <a:ln>
              <a:noFill/>
            </a:ln>
            <a:effectLst/>
          </c:spPr>
          <c:invertIfNegative val="0"/>
          <c:cat>
            <c:strRef>
              <c:f>PivotTables!$A$22:$A$26</c:f>
              <c:strCache>
                <c:ptCount val="4"/>
                <c:pt idx="0">
                  <c:v>HR</c:v>
                </c:pt>
                <c:pt idx="1">
                  <c:v>IT</c:v>
                </c:pt>
                <c:pt idx="2">
                  <c:v>Marketing</c:v>
                </c:pt>
                <c:pt idx="3">
                  <c:v>Procurement</c:v>
                </c:pt>
              </c:strCache>
            </c:strRef>
          </c:cat>
          <c:val>
            <c:numRef>
              <c:f>PivotTables!$F$22:$F$26</c:f>
              <c:numCache>
                <c:formatCode>General</c:formatCode>
                <c:ptCount val="4"/>
                <c:pt idx="0">
                  <c:v>6</c:v>
                </c:pt>
                <c:pt idx="1">
                  <c:v>8</c:v>
                </c:pt>
                <c:pt idx="2">
                  <c:v>12</c:v>
                </c:pt>
                <c:pt idx="3">
                  <c:v>16</c:v>
                </c:pt>
              </c:numCache>
            </c:numRef>
          </c:val>
          <c:extLst>
            <c:ext xmlns:c16="http://schemas.microsoft.com/office/drawing/2014/chart" uri="{C3380CC4-5D6E-409C-BE32-E72D297353CC}">
              <c16:uniqueId val="{0000000E-62C3-4386-AE1D-BD6292718C9E}"/>
            </c:ext>
          </c:extLst>
        </c:ser>
        <c:ser>
          <c:idx val="5"/>
          <c:order val="5"/>
          <c:tx>
            <c:strRef>
              <c:f>PivotTables!$G$20:$G$21</c:f>
              <c:strCache>
                <c:ptCount val="1"/>
                <c:pt idx="0">
                  <c:v>Not Started</c:v>
                </c:pt>
              </c:strCache>
            </c:strRef>
          </c:tx>
          <c:spPr>
            <a:solidFill>
              <a:schemeClr val="accent6"/>
            </a:solidFill>
            <a:ln>
              <a:noFill/>
            </a:ln>
            <a:effectLst/>
          </c:spPr>
          <c:invertIfNegative val="0"/>
          <c:cat>
            <c:strRef>
              <c:f>PivotTables!$A$22:$A$26</c:f>
              <c:strCache>
                <c:ptCount val="4"/>
                <c:pt idx="0">
                  <c:v>HR</c:v>
                </c:pt>
                <c:pt idx="1">
                  <c:v>IT</c:v>
                </c:pt>
                <c:pt idx="2">
                  <c:v>Marketing</c:v>
                </c:pt>
                <c:pt idx="3">
                  <c:v>Procurement</c:v>
                </c:pt>
              </c:strCache>
            </c:strRef>
          </c:cat>
          <c:val>
            <c:numRef>
              <c:f>PivotTables!$G$22:$G$26</c:f>
              <c:numCache>
                <c:formatCode>General</c:formatCode>
                <c:ptCount val="4"/>
                <c:pt idx="0">
                  <c:v>3</c:v>
                </c:pt>
                <c:pt idx="1">
                  <c:v>7</c:v>
                </c:pt>
                <c:pt idx="2">
                  <c:v>4</c:v>
                </c:pt>
                <c:pt idx="3">
                  <c:v>3</c:v>
                </c:pt>
              </c:numCache>
            </c:numRef>
          </c:val>
          <c:extLst>
            <c:ext xmlns:c16="http://schemas.microsoft.com/office/drawing/2014/chart" uri="{C3380CC4-5D6E-409C-BE32-E72D297353CC}">
              <c16:uniqueId val="{0000000F-62C3-4386-AE1D-BD6292718C9E}"/>
            </c:ext>
          </c:extLst>
        </c:ser>
        <c:ser>
          <c:idx val="6"/>
          <c:order val="6"/>
          <c:tx>
            <c:strRef>
              <c:f>PivotTables!$H$20:$H$21</c:f>
              <c:strCache>
                <c:ptCount val="1"/>
                <c:pt idx="0">
                  <c:v>Ongoing</c:v>
                </c:pt>
              </c:strCache>
            </c:strRef>
          </c:tx>
          <c:spPr>
            <a:solidFill>
              <a:schemeClr val="accent1">
                <a:lumMod val="60000"/>
              </a:schemeClr>
            </a:solidFill>
            <a:ln>
              <a:noFill/>
            </a:ln>
            <a:effectLst/>
          </c:spPr>
          <c:invertIfNegative val="0"/>
          <c:cat>
            <c:strRef>
              <c:f>PivotTables!$A$22:$A$26</c:f>
              <c:strCache>
                <c:ptCount val="4"/>
                <c:pt idx="0">
                  <c:v>HR</c:v>
                </c:pt>
                <c:pt idx="1">
                  <c:v>IT</c:v>
                </c:pt>
                <c:pt idx="2">
                  <c:v>Marketing</c:v>
                </c:pt>
                <c:pt idx="3">
                  <c:v>Procurement</c:v>
                </c:pt>
              </c:strCache>
            </c:strRef>
          </c:cat>
          <c:val>
            <c:numRef>
              <c:f>PivotTables!$H$22:$H$26</c:f>
              <c:numCache>
                <c:formatCode>General</c:formatCode>
                <c:ptCount val="4"/>
                <c:pt idx="0">
                  <c:v>5</c:v>
                </c:pt>
                <c:pt idx="1">
                  <c:v>1</c:v>
                </c:pt>
                <c:pt idx="2">
                  <c:v>6</c:v>
                </c:pt>
                <c:pt idx="3">
                  <c:v>2</c:v>
                </c:pt>
              </c:numCache>
            </c:numRef>
          </c:val>
          <c:extLst>
            <c:ext xmlns:c16="http://schemas.microsoft.com/office/drawing/2014/chart" uri="{C3380CC4-5D6E-409C-BE32-E72D297353CC}">
              <c16:uniqueId val="{00000012-62C3-4386-AE1D-BD6292718C9E}"/>
            </c:ext>
          </c:extLst>
        </c:ser>
        <c:ser>
          <c:idx val="7"/>
          <c:order val="7"/>
          <c:tx>
            <c:strRef>
              <c:f>PivotTables!$I$20:$I$21</c:f>
              <c:strCache>
                <c:ptCount val="1"/>
                <c:pt idx="0">
                  <c:v>Pending</c:v>
                </c:pt>
              </c:strCache>
            </c:strRef>
          </c:tx>
          <c:spPr>
            <a:solidFill>
              <a:schemeClr val="accent2">
                <a:lumMod val="60000"/>
              </a:schemeClr>
            </a:solidFill>
            <a:ln>
              <a:noFill/>
            </a:ln>
            <a:effectLst/>
          </c:spPr>
          <c:invertIfNegative val="0"/>
          <c:cat>
            <c:strRef>
              <c:f>PivotTables!$A$22:$A$26</c:f>
              <c:strCache>
                <c:ptCount val="4"/>
                <c:pt idx="0">
                  <c:v>HR</c:v>
                </c:pt>
                <c:pt idx="1">
                  <c:v>IT</c:v>
                </c:pt>
                <c:pt idx="2">
                  <c:v>Marketing</c:v>
                </c:pt>
                <c:pt idx="3">
                  <c:v>Procurement</c:v>
                </c:pt>
              </c:strCache>
            </c:strRef>
          </c:cat>
          <c:val>
            <c:numRef>
              <c:f>PivotTables!$I$22:$I$26</c:f>
              <c:numCache>
                <c:formatCode>General</c:formatCode>
                <c:ptCount val="4"/>
                <c:pt idx="0">
                  <c:v>2</c:v>
                </c:pt>
                <c:pt idx="1">
                  <c:v>2</c:v>
                </c:pt>
                <c:pt idx="2">
                  <c:v>4</c:v>
                </c:pt>
              </c:numCache>
            </c:numRef>
          </c:val>
          <c:extLst>
            <c:ext xmlns:c16="http://schemas.microsoft.com/office/drawing/2014/chart" uri="{C3380CC4-5D6E-409C-BE32-E72D297353CC}">
              <c16:uniqueId val="{00000013-62C3-4386-AE1D-BD6292718C9E}"/>
            </c:ext>
          </c:extLst>
        </c:ser>
        <c:dLbls>
          <c:showLegendKey val="0"/>
          <c:showVal val="0"/>
          <c:showCatName val="0"/>
          <c:showSerName val="0"/>
          <c:showPercent val="0"/>
          <c:showBubbleSize val="0"/>
        </c:dLbls>
        <c:gapWidth val="150"/>
        <c:overlap val="100"/>
        <c:axId val="925534800"/>
        <c:axId val="922766320"/>
      </c:barChart>
      <c:catAx>
        <c:axId val="92553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766320"/>
        <c:crosses val="autoZero"/>
        <c:auto val="1"/>
        <c:lblAlgn val="ctr"/>
        <c:lblOffset val="100"/>
        <c:noMultiLvlLbl val="0"/>
      </c:catAx>
      <c:valAx>
        <c:axId val="922766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534800"/>
        <c:crosses val="autoZero"/>
        <c:crossBetween val="between"/>
      </c:valAx>
      <c:spPr>
        <a:noFill/>
        <a:ln>
          <a:noFill/>
        </a:ln>
        <a:effectLst/>
      </c:spPr>
    </c:plotArea>
    <c:legend>
      <c:legendPos val="r"/>
      <c:layout>
        <c:manualLayout>
          <c:xMode val="edge"/>
          <c:yMode val="edge"/>
          <c:x val="0.76731887121492348"/>
          <c:y val="0.19474945219003587"/>
          <c:w val="0.2045349474394777"/>
          <c:h val="0.491222409936333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[PM_Analytics_Practice_Project work final.xlsx]PivotTables!PivotTable5</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tx1"/>
                </a:solidFill>
              </a:rPr>
              <a:t>Average Delay Days by Priority</a:t>
            </a:r>
            <a:endParaRPr lang="en-US">
              <a:solidFill>
                <a:schemeClr val="tx1"/>
              </a:solidFill>
            </a:endParaRPr>
          </a:p>
        </c:rich>
      </c:tx>
      <c:layout>
        <c:manualLayout>
          <c:xMode val="edge"/>
          <c:yMode val="edge"/>
          <c:x val="0.31630462028377659"/>
          <c:y val="9.240718986054843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PivotTables!$B$32:$B$33</c:f>
              <c:strCache>
                <c:ptCount val="1"/>
                <c:pt idx="0">
                  <c:v>High</c:v>
                </c:pt>
              </c:strCache>
            </c:strRef>
          </c:tx>
          <c:spPr>
            <a:solidFill>
              <a:schemeClr val="accent1"/>
            </a:solidFill>
            <a:ln>
              <a:noFill/>
            </a:ln>
            <a:effectLst/>
          </c:spPr>
          <c:invertIfNegative val="0"/>
          <c:cat>
            <c:strRef>
              <c:f>PivotTables!$A$34:$A$38</c:f>
              <c:strCache>
                <c:ptCount val="4"/>
                <c:pt idx="0">
                  <c:v>HR</c:v>
                </c:pt>
                <c:pt idx="1">
                  <c:v>IT</c:v>
                </c:pt>
                <c:pt idx="2">
                  <c:v>Marketing</c:v>
                </c:pt>
                <c:pt idx="3">
                  <c:v>Procurement</c:v>
                </c:pt>
              </c:strCache>
            </c:strRef>
          </c:cat>
          <c:val>
            <c:numRef>
              <c:f>PivotTables!$B$34:$B$38</c:f>
              <c:numCache>
                <c:formatCode>General</c:formatCode>
                <c:ptCount val="4"/>
                <c:pt idx="0">
                  <c:v>2.7692307692307692</c:v>
                </c:pt>
                <c:pt idx="1">
                  <c:v>0.04</c:v>
                </c:pt>
                <c:pt idx="2">
                  <c:v>0.26666666666666666</c:v>
                </c:pt>
                <c:pt idx="3">
                  <c:v>0.14285714285714285</c:v>
                </c:pt>
              </c:numCache>
            </c:numRef>
          </c:val>
          <c:extLst>
            <c:ext xmlns:c16="http://schemas.microsoft.com/office/drawing/2014/chart" uri="{C3380CC4-5D6E-409C-BE32-E72D297353CC}">
              <c16:uniqueId val="{00000000-0945-42A8-9532-03383EE34E2B}"/>
            </c:ext>
          </c:extLst>
        </c:ser>
        <c:ser>
          <c:idx val="1"/>
          <c:order val="1"/>
          <c:tx>
            <c:strRef>
              <c:f>PivotTables!$C$32:$C$33</c:f>
              <c:strCache>
                <c:ptCount val="1"/>
                <c:pt idx="0">
                  <c:v>Low</c:v>
                </c:pt>
              </c:strCache>
            </c:strRef>
          </c:tx>
          <c:spPr>
            <a:solidFill>
              <a:schemeClr val="accent2"/>
            </a:solidFill>
            <a:ln>
              <a:noFill/>
            </a:ln>
            <a:effectLst/>
          </c:spPr>
          <c:invertIfNegative val="0"/>
          <c:cat>
            <c:strRef>
              <c:f>PivotTables!$A$34:$A$38</c:f>
              <c:strCache>
                <c:ptCount val="4"/>
                <c:pt idx="0">
                  <c:v>HR</c:v>
                </c:pt>
                <c:pt idx="1">
                  <c:v>IT</c:v>
                </c:pt>
                <c:pt idx="2">
                  <c:v>Marketing</c:v>
                </c:pt>
                <c:pt idx="3">
                  <c:v>Procurement</c:v>
                </c:pt>
              </c:strCache>
            </c:strRef>
          </c:cat>
          <c:val>
            <c:numRef>
              <c:f>PivotTables!$C$34:$C$38</c:f>
              <c:numCache>
                <c:formatCode>General</c:formatCode>
                <c:ptCount val="4"/>
                <c:pt idx="0">
                  <c:v>0.54545454545454541</c:v>
                </c:pt>
                <c:pt idx="1">
                  <c:v>0.33333333333333331</c:v>
                </c:pt>
                <c:pt idx="2">
                  <c:v>0.25</c:v>
                </c:pt>
                <c:pt idx="3">
                  <c:v>-0.13333333333333333</c:v>
                </c:pt>
              </c:numCache>
            </c:numRef>
          </c:val>
          <c:extLst>
            <c:ext xmlns:c16="http://schemas.microsoft.com/office/drawing/2014/chart" uri="{C3380CC4-5D6E-409C-BE32-E72D297353CC}">
              <c16:uniqueId val="{0000000C-0945-42A8-9532-03383EE34E2B}"/>
            </c:ext>
          </c:extLst>
        </c:ser>
        <c:ser>
          <c:idx val="2"/>
          <c:order val="2"/>
          <c:tx>
            <c:strRef>
              <c:f>PivotTables!$D$32:$D$33</c:f>
              <c:strCache>
                <c:ptCount val="1"/>
                <c:pt idx="0">
                  <c:v>Medium</c:v>
                </c:pt>
              </c:strCache>
            </c:strRef>
          </c:tx>
          <c:spPr>
            <a:solidFill>
              <a:schemeClr val="accent3"/>
            </a:solidFill>
            <a:ln>
              <a:noFill/>
            </a:ln>
            <a:effectLst/>
          </c:spPr>
          <c:invertIfNegative val="0"/>
          <c:cat>
            <c:strRef>
              <c:f>PivotTables!$A$34:$A$38</c:f>
              <c:strCache>
                <c:ptCount val="4"/>
                <c:pt idx="0">
                  <c:v>HR</c:v>
                </c:pt>
                <c:pt idx="1">
                  <c:v>IT</c:v>
                </c:pt>
                <c:pt idx="2">
                  <c:v>Marketing</c:v>
                </c:pt>
                <c:pt idx="3">
                  <c:v>Procurement</c:v>
                </c:pt>
              </c:strCache>
            </c:strRef>
          </c:cat>
          <c:val>
            <c:numRef>
              <c:f>PivotTables!$D$34:$D$38</c:f>
              <c:numCache>
                <c:formatCode>General</c:formatCode>
                <c:ptCount val="4"/>
                <c:pt idx="0">
                  <c:v>0.33333333333333331</c:v>
                </c:pt>
                <c:pt idx="1">
                  <c:v>0.53846153846153844</c:v>
                </c:pt>
                <c:pt idx="2">
                  <c:v>1.3</c:v>
                </c:pt>
                <c:pt idx="3">
                  <c:v>1.1666666666666667</c:v>
                </c:pt>
              </c:numCache>
            </c:numRef>
          </c:val>
          <c:extLst>
            <c:ext xmlns:c16="http://schemas.microsoft.com/office/drawing/2014/chart" uri="{C3380CC4-5D6E-409C-BE32-E72D297353CC}">
              <c16:uniqueId val="{0000000D-0945-42A8-9532-03383EE34E2B}"/>
            </c:ext>
          </c:extLst>
        </c:ser>
        <c:ser>
          <c:idx val="3"/>
          <c:order val="3"/>
          <c:tx>
            <c:strRef>
              <c:f>PivotTables!$E$32:$E$33</c:f>
              <c:strCache>
                <c:ptCount val="1"/>
                <c:pt idx="0">
                  <c:v>Not Set</c:v>
                </c:pt>
              </c:strCache>
            </c:strRef>
          </c:tx>
          <c:spPr>
            <a:solidFill>
              <a:schemeClr val="accent4"/>
            </a:solidFill>
            <a:ln>
              <a:noFill/>
            </a:ln>
            <a:effectLst/>
          </c:spPr>
          <c:invertIfNegative val="0"/>
          <c:cat>
            <c:strRef>
              <c:f>PivotTables!$A$34:$A$38</c:f>
              <c:strCache>
                <c:ptCount val="4"/>
                <c:pt idx="0">
                  <c:v>HR</c:v>
                </c:pt>
                <c:pt idx="1">
                  <c:v>IT</c:v>
                </c:pt>
                <c:pt idx="2">
                  <c:v>Marketing</c:v>
                </c:pt>
                <c:pt idx="3">
                  <c:v>Procurement</c:v>
                </c:pt>
              </c:strCache>
            </c:strRef>
          </c:cat>
          <c:val>
            <c:numRef>
              <c:f>PivotTables!$E$34:$E$38</c:f>
              <c:numCache>
                <c:formatCode>General</c:formatCode>
                <c:ptCount val="4"/>
                <c:pt idx="0">
                  <c:v>0</c:v>
                </c:pt>
                <c:pt idx="1">
                  <c:v>0</c:v>
                </c:pt>
                <c:pt idx="3">
                  <c:v>0</c:v>
                </c:pt>
              </c:numCache>
            </c:numRef>
          </c:val>
          <c:extLst>
            <c:ext xmlns:c16="http://schemas.microsoft.com/office/drawing/2014/chart" uri="{C3380CC4-5D6E-409C-BE32-E72D297353CC}">
              <c16:uniqueId val="{0000000F-0945-42A8-9532-03383EE34E2B}"/>
            </c:ext>
          </c:extLst>
        </c:ser>
        <c:dLbls>
          <c:showLegendKey val="0"/>
          <c:showVal val="0"/>
          <c:showCatName val="0"/>
          <c:showSerName val="0"/>
          <c:showPercent val="0"/>
          <c:showBubbleSize val="0"/>
        </c:dLbls>
        <c:gapWidth val="182"/>
        <c:axId val="925608112"/>
        <c:axId val="922829680"/>
      </c:barChart>
      <c:catAx>
        <c:axId val="9256081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829680"/>
        <c:crosses val="autoZero"/>
        <c:auto val="1"/>
        <c:lblAlgn val="ctr"/>
        <c:lblOffset val="100"/>
        <c:noMultiLvlLbl val="0"/>
      </c:catAx>
      <c:valAx>
        <c:axId val="9228296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608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3</xdr:col>
      <xdr:colOff>464820</xdr:colOff>
      <xdr:row>1</xdr:row>
      <xdr:rowOff>152401</xdr:rowOff>
    </xdr:from>
    <xdr:to>
      <xdr:col>4</xdr:col>
      <xdr:colOff>1328821</xdr:colOff>
      <xdr:row>16</xdr:row>
      <xdr:rowOff>90715</xdr:rowOff>
    </xdr:to>
    <mc:AlternateContent xmlns:mc="http://schemas.openxmlformats.org/markup-compatibility/2006">
      <mc:Choice xmlns:a14="http://schemas.microsoft.com/office/drawing/2010/main" Requires="a14">
        <xdr:graphicFrame macro="">
          <xdr:nvGraphicFramePr>
            <xdr:cNvPr id="2" name="Status">
              <a:extLst>
                <a:ext uri="{FF2B5EF4-FFF2-40B4-BE49-F238E27FC236}">
                  <a16:creationId xmlns:a16="http://schemas.microsoft.com/office/drawing/2014/main" id="{18AE0587-9B50-64B7-9C8E-F0FEF14AF2D9}"/>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dr:sp macro="" textlink="">
          <xdr:nvSpPr>
            <xdr:cNvPr id="0" name=""/>
            <xdr:cNvSpPr>
              <a:spLocks noTextEdit="1"/>
            </xdr:cNvSpPr>
          </xdr:nvSpPr>
          <xdr:spPr>
            <a:xfrm>
              <a:off x="4242736" y="336885"/>
              <a:ext cx="1842569" cy="27055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89050</xdr:colOff>
      <xdr:row>5</xdr:row>
      <xdr:rowOff>78607</xdr:rowOff>
    </xdr:from>
    <xdr:to>
      <xdr:col>9</xdr:col>
      <xdr:colOff>406988</xdr:colOff>
      <xdr:row>19</xdr:row>
      <xdr:rowOff>50629</xdr:rowOff>
    </xdr:to>
    <xdr:graphicFrame macro="">
      <xdr:nvGraphicFramePr>
        <xdr:cNvPr id="3" name="Chart 2">
          <a:extLst>
            <a:ext uri="{FF2B5EF4-FFF2-40B4-BE49-F238E27FC236}">
              <a16:creationId xmlns:a16="http://schemas.microsoft.com/office/drawing/2014/main" id="{8161B19A-8401-4715-BAE5-466DAA3E94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229602</xdr:colOff>
      <xdr:row>5</xdr:row>
      <xdr:rowOff>23377</xdr:rowOff>
    </xdr:from>
    <xdr:to>
      <xdr:col>16</xdr:col>
      <xdr:colOff>162861</xdr:colOff>
      <xdr:row>19</xdr:row>
      <xdr:rowOff>40457</xdr:rowOff>
    </xdr:to>
    <xdr:graphicFrame macro="">
      <xdr:nvGraphicFramePr>
        <xdr:cNvPr id="5" name="Chart 4">
          <a:extLst>
            <a:ext uri="{FF2B5EF4-FFF2-40B4-BE49-F238E27FC236}">
              <a16:creationId xmlns:a16="http://schemas.microsoft.com/office/drawing/2014/main" id="{30BD4C23-2B33-4CCA-9EBE-FD3164AD1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459619</xdr:colOff>
      <xdr:row>20</xdr:row>
      <xdr:rowOff>30241</xdr:rowOff>
    </xdr:from>
    <xdr:to>
      <xdr:col>13</xdr:col>
      <xdr:colOff>350761</xdr:colOff>
      <xdr:row>34</xdr:row>
      <xdr:rowOff>36286</xdr:rowOff>
    </xdr:to>
    <xdr:graphicFrame macro="">
      <xdr:nvGraphicFramePr>
        <xdr:cNvPr id="7" name="Chart 6">
          <a:extLst>
            <a:ext uri="{FF2B5EF4-FFF2-40B4-BE49-F238E27FC236}">
              <a16:creationId xmlns:a16="http://schemas.microsoft.com/office/drawing/2014/main" id="{A77A9755-D536-4E1D-96D5-6071A3F961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459618</xdr:colOff>
      <xdr:row>5</xdr:row>
      <xdr:rowOff>60477</xdr:rowOff>
    </xdr:from>
    <xdr:to>
      <xdr:col>3</xdr:col>
      <xdr:colOff>399142</xdr:colOff>
      <xdr:row>19</xdr:row>
      <xdr:rowOff>24191</xdr:rowOff>
    </xdr:to>
    <mc:AlternateContent xmlns:mc="http://schemas.openxmlformats.org/markup-compatibility/2006">
      <mc:Choice xmlns:a14="http://schemas.microsoft.com/office/drawing/2010/main" Requires="a14">
        <xdr:graphicFrame macro="">
          <xdr:nvGraphicFramePr>
            <xdr:cNvPr id="15" name="Department 1">
              <a:extLst>
                <a:ext uri="{FF2B5EF4-FFF2-40B4-BE49-F238E27FC236}">
                  <a16:creationId xmlns:a16="http://schemas.microsoft.com/office/drawing/2014/main" id="{5548CC09-3E65-4B07-9F05-2E21961991E5}"/>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59618" y="1608667"/>
              <a:ext cx="2370667" cy="25037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423334</xdr:colOff>
      <xdr:row>21</xdr:row>
      <xdr:rowOff>84666</xdr:rowOff>
    </xdr:from>
    <xdr:to>
      <xdr:col>4</xdr:col>
      <xdr:colOff>568476</xdr:colOff>
      <xdr:row>29</xdr:row>
      <xdr:rowOff>48382</xdr:rowOff>
    </xdr:to>
    <mc:AlternateContent xmlns:mc="http://schemas.openxmlformats.org/markup-compatibility/2006">
      <mc:Choice xmlns:a14="http://schemas.microsoft.com/office/drawing/2010/main" Requires="a14">
        <xdr:graphicFrame macro="">
          <xdr:nvGraphicFramePr>
            <xdr:cNvPr id="16" name="Priority 1">
              <a:extLst>
                <a:ext uri="{FF2B5EF4-FFF2-40B4-BE49-F238E27FC236}">
                  <a16:creationId xmlns:a16="http://schemas.microsoft.com/office/drawing/2014/main" id="{C591B5D5-5740-4EFE-BE40-4DC2299A6CC0}"/>
                </a:ext>
              </a:extLst>
            </xdr:cNvPr>
            <xdr:cNvGraphicFramePr/>
          </xdr:nvGraphicFramePr>
          <xdr:xfrm>
            <a:off x="0" y="0"/>
            <a:ext cx="0" cy="0"/>
          </xdr:xfrm>
          <a:graphic>
            <a:graphicData uri="http://schemas.microsoft.com/office/drawing/2010/slicer">
              <sle:slicer xmlns:sle="http://schemas.microsoft.com/office/drawing/2010/slicer" name="Priority 1"/>
            </a:graphicData>
          </a:graphic>
        </xdr:graphicFrame>
      </mc:Choice>
      <mc:Fallback>
        <xdr:sp macro="" textlink="">
          <xdr:nvSpPr>
            <xdr:cNvPr id="0" name=""/>
            <xdr:cNvSpPr>
              <a:spLocks noTextEdit="1"/>
            </xdr:cNvSpPr>
          </xdr:nvSpPr>
          <xdr:spPr>
            <a:xfrm>
              <a:off x="423334" y="4535714"/>
              <a:ext cx="3168952" cy="1415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lisia makram" refreshedDate="46221.911478009257" createdVersion="8" refreshedVersion="8" minRefreshableVersion="3" recordCount="315" xr:uid="{CE23D716-41EC-4620-B4BF-205D50AE1B52}">
  <cacheSource type="worksheet">
    <worksheetSource name="tbl_Tasks_Clean"/>
  </cacheSource>
  <cacheFields count="26">
    <cacheField name="Task_ID" numFmtId="0">
      <sharedItems/>
    </cacheField>
    <cacheField name="Project_ID" numFmtId="0">
      <sharedItems/>
    </cacheField>
    <cacheField name="Project_Name" numFmtId="0">
      <sharedItems count="15">
        <s v="Warehouse Automation"/>
        <s v="Website Redesign"/>
        <s v="Mobile App Launch"/>
        <s v="Retail Store Opening"/>
        <s v="Customer Portal Upgrade"/>
        <s v="Product Line Expansion"/>
        <s v="Cloud Migration"/>
        <s v="Office Relocation"/>
        <s v="HR System Implementation"/>
        <s v="ERP System Rollout"/>
        <s v="CRM Migration"/>
        <s v="Data Center Upgrade"/>
        <s v="Supply Chain Optimization"/>
        <s v="Network Security Overhaul"/>
        <s v="Brand Refresh Campaign"/>
      </sharedItems>
    </cacheField>
    <cacheField name="Task_Name" numFmtId="0">
      <sharedItems/>
    </cacheField>
    <cacheField name="Department" numFmtId="0">
      <sharedItems containsBlank="1" count="8">
        <s v="Finance"/>
        <s v="Operations"/>
        <s v="IT"/>
        <s v="Marketing"/>
        <m/>
        <s v="Procurement"/>
        <s v="Quality"/>
        <s v="HR"/>
      </sharedItems>
    </cacheField>
    <cacheField name="Assigned_To" numFmtId="0">
      <sharedItems count="28">
        <s v="Farida Hosny"/>
        <s v="Yasmin Younes"/>
        <s v="Noor Naguib"/>
        <s v="Hassan Fouad"/>
        <s v="Salma Fouad"/>
        <s v="Tarek Abdelrahman"/>
        <s v="Khaled Younes"/>
        <s v="Dina Zaki"/>
        <s v="Farida Younes"/>
        <s v="Tarek Shawky"/>
        <s v="Reem Gaber"/>
        <s v="Sherif Hosny"/>
        <s v="Aya Ibrahim"/>
        <s v="Farida Zaki"/>
        <s v="Dina Fouad"/>
        <s v="Farida Shawky"/>
        <s v="Mariam Kamal"/>
        <s v="Sherif Ibrahim"/>
        <s v="Unassigned"/>
        <s v="Ziad Abdelrahman"/>
        <s v="Khaled Naguib"/>
        <s v="Mostafa El-Sayed"/>
        <s v="Hana Zaki"/>
        <s v="Fady Hosny"/>
        <s v="Dina Mahmoud"/>
        <s v="Rania Gaber"/>
        <s v="Yasmin El-Sayed"/>
        <s v="Yasmin Zaki"/>
      </sharedItems>
    </cacheField>
    <cacheField name="Priority" numFmtId="0">
      <sharedItems count="4">
        <s v="Medium"/>
        <s v="High"/>
        <s v="Low"/>
        <s v="Not Set"/>
      </sharedItems>
    </cacheField>
    <cacheField name="Status" numFmtId="0">
      <sharedItems count="8">
        <s v="Delayed"/>
        <s v="In Progress"/>
        <s v="Completed"/>
        <s v="Done"/>
        <s v="Not Started"/>
        <s v="Ongoing"/>
        <s v="Pending"/>
        <s v="Behind Schedule"/>
      </sharedItems>
    </cacheField>
    <cacheField name="Planned_Cost" numFmtId="0">
      <sharedItems containsSemiMixedTypes="0" containsString="0" containsNumber="1" containsInteger="1" minValue="0" maxValue="10000"/>
    </cacheField>
    <cacheField name="Actual_Cost" numFmtId="0">
      <sharedItems containsSemiMixedTypes="0" containsString="0" containsNumber="1" containsInteger="1" minValue="0" maxValue="13746"/>
    </cacheField>
    <cacheField name="Start_Date" numFmtId="14">
      <sharedItems containsNonDate="0" containsDate="1" containsString="0" containsBlank="1" minDate="2024-01-06T00:00:00" maxDate="2024-11-19T00:00:00"/>
    </cacheField>
    <cacheField name="Planned_End_Date" numFmtId="14">
      <sharedItems containsNonDate="0" containsDate="1" containsString="0" containsBlank="1" minDate="2024-01-15T00:00:00" maxDate="2024-12-09T00:00:00"/>
    </cacheField>
    <cacheField name="Actual_End_Date" numFmtId="14">
      <sharedItems containsNonDate="0" containsDate="1" containsString="0" containsBlank="1" minDate="2024-01-12T00:00:00" maxDate="2024-12-11T00:00:00"/>
    </cacheField>
    <cacheField name="Planned_Duration_Days" numFmtId="0">
      <sharedItems containsString="0" containsBlank="1" containsNumber="1" containsInteger="1" minValue="3" maxValue="30"/>
    </cacheField>
    <cacheField name="Delay_Days" numFmtId="0">
      <sharedItems containsSemiMixedTypes="0" containsString="0" containsNumber="1" containsInteger="1" minValue="-3" maxValue="15"/>
    </cacheField>
    <cacheField name="Client" numFmtId="0">
      <sharedItems/>
    </cacheField>
    <cacheField name="Project_Manager" numFmtId="0">
      <sharedItems/>
    </cacheField>
    <cacheField name="Budget" numFmtId="0">
      <sharedItems containsSemiMixedTypes="0" containsString="0" containsNumber="1" containsInteger="1" minValue="50000" maxValue="300000"/>
    </cacheField>
    <cacheField name="Employee_Department" numFmtId="0">
      <sharedItems containsBlank="1"/>
    </cacheField>
    <cacheField name="Hourly_Rate" numFmtId="0">
      <sharedItems containsString="0" containsBlank="1" containsNumber="1" containsInteger="1" minValue="150" maxValue="300"/>
    </cacheField>
    <cacheField name="Cost_Variance" numFmtId="0">
      <sharedItems containsSemiMixedTypes="0" containsString="0" containsNumber="1" containsInteger="1" minValue="-10000" maxValue="6098"/>
    </cacheField>
    <cacheField name="Cost_Variance_%" numFmtId="9">
      <sharedItems containsSemiMixedTypes="0" containsString="0" containsNumber="1" minValue="-1" maxValue="0.39960000000000001"/>
    </cacheField>
    <cacheField name="On_Flag" numFmtId="0">
      <sharedItems/>
    </cacheField>
    <cacheField name="Task_Age_Category" numFmtId="0">
      <sharedItems/>
    </cacheField>
    <cacheField name="Manager_Lookup" numFmtId="0">
      <sharedItems/>
    </cacheField>
    <cacheField name="Delay_Description" numFmtId="0">
      <sharedItems/>
    </cacheField>
  </cacheFields>
  <extLst>
    <ext xmlns:x14="http://schemas.microsoft.com/office/spreadsheetml/2009/9/main" uri="{725AE2AE-9491-48be-B2B4-4EB974FC3084}">
      <x14:pivotCacheDefinition pivotCacheId="63678338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lisia makram" refreshedDate="46222.206696759262" backgroundQuery="1" createdVersion="8" refreshedVersion="8" minRefreshableVersion="3" recordCount="0" supportSubquery="1" supportAdvancedDrill="1" xr:uid="{2817D1CC-0F1D-427D-9DB9-07613141FB0A}">
  <cacheSource type="external" connectionId="4"/>
  <cacheFields count="7">
    <cacheField name="[tbl_Task_Clean].[Project_Name].[Project_Name]" caption="Project_Name" numFmtId="0" hierarchy="13" level="1">
      <sharedItems count="15">
        <s v="Brand Refresh Campaign"/>
        <s v="Cloud Migration"/>
        <s v="CRM Migration"/>
        <s v="Customer Portal Upgrade"/>
        <s v="Data Center Upgrade"/>
        <s v="ERP System Rollout"/>
        <s v="HR System Implementation"/>
        <s v="Mobile App Launch"/>
        <s v="Network Security Overhaul"/>
        <s v="Office Relocation"/>
        <s v="Product Line Expansion"/>
        <s v="Retail Store Opening"/>
        <s v="Supply Chain Optimization"/>
        <s v="Warehouse Automation"/>
        <s v="Website Redesign"/>
      </sharedItems>
    </cacheField>
    <cacheField name="[tbl_Task_Clean].[Department].[Department]" caption="Department" numFmtId="0" hierarchy="15" level="1">
      <sharedItems containsBlank="1" count="8">
        <m/>
        <s v="Finance"/>
        <s v="HR"/>
        <s v="IT"/>
        <s v="Marketing"/>
        <s v="Operations"/>
        <s v="Procurement"/>
        <s v="Quality"/>
      </sharedItems>
    </cacheField>
    <cacheField name="[Measures].[Total Planned Cost]" caption="Total Planned Cost" numFmtId="0" hierarchy="37" level="32767"/>
    <cacheField name="[Measures].[Total Actual Cost]" caption="Total Actual Cost" numFmtId="0" hierarchy="38" level="32767"/>
    <cacheField name="[Measures].[Cost Variance %]" caption="Cost Variance %" numFmtId="0" hierarchy="40" level="32767"/>
    <cacheField name="[Measures].[On-Time Completion Rate]" caption="On-Time Completion Rate" numFmtId="0" hierarchy="42" level="32767"/>
    <cacheField name="[tbl_Task_Clean].[Priority].[Priority]" caption="Priority" numFmtId="0" hierarchy="17" level="1">
      <sharedItems containsSemiMixedTypes="0" containsNonDate="0" containsString="0"/>
    </cacheField>
  </cacheFields>
  <cacheHierarchies count="48">
    <cacheHierarchy uniqueName="[tbl_Employees_1].[Employee_ID]" caption="Employee_ID" attribute="1" defaultMemberUniqueName="[tbl_Employees_1].[Employee_ID].[All]" allUniqueName="[tbl_Employees_1].[Employee_ID].[All]" dimensionUniqueName="[tbl_Employees_1]" displayFolder="" count="2" memberValueDatatype="130" unbalanced="0"/>
    <cacheHierarchy uniqueName="[tbl_Employees_1].[Employee_Name]" caption="Employee_Name" attribute="1" defaultMemberUniqueName="[tbl_Employees_1].[Employee_Name].[All]" allUniqueName="[tbl_Employees_1].[Employee_Name].[All]" dimensionUniqueName="[tbl_Employees_1]" displayFolder="" count="2" memberValueDatatype="130" unbalanced="0"/>
    <cacheHierarchy uniqueName="[tbl_Employees_1].[Department]" caption="Department" attribute="1" defaultMemberUniqueName="[tbl_Employees_1].[Department].[All]" allUniqueName="[tbl_Employees_1].[Department].[All]" dimensionUniqueName="[tbl_Employees_1]" displayFolder="" count="2" memberValueDatatype="130" unbalanced="0"/>
    <cacheHierarchy uniqueName="[tbl_Employees_1].[Role]" caption="Role" attribute="1" defaultMemberUniqueName="[tbl_Employees_1].[Role].[All]" allUniqueName="[tbl_Employees_1].[Role].[All]" dimensionUniqueName="[tbl_Employees_1]" displayFolder="" count="2" memberValueDatatype="130" unbalanced="0"/>
    <cacheHierarchy uniqueName="[tbl_Employees_1].[Hourly_Rate]" caption="Hourly_Rate" attribute="1" defaultMemberUniqueName="[tbl_Employees_1].[Hourly_Rate].[All]" allUniqueName="[tbl_Employees_1].[Hourly_Rate].[All]" dimensionUniqueName="[tbl_Employees_1]" displayFolder="" count="2" memberValueDatatype="20" unbalanced="0"/>
    <cacheHierarchy uniqueName="[tbl_Projects_1].[Project_ID]" caption="Project_ID" attribute="1" defaultMemberUniqueName="[tbl_Projects_1].[Project_ID].[All]" allUniqueName="[tbl_Projects_1].[Project_ID].[All]" dimensionUniqueName="[tbl_Projects_1]" displayFolder="" count="2" memberValueDatatype="130" unbalanced="0"/>
    <cacheHierarchy uniqueName="[tbl_Projects_1].[Project_Name]" caption="Project_Name" attribute="1" defaultMemberUniqueName="[tbl_Projects_1].[Project_Name].[All]" allUniqueName="[tbl_Projects_1].[Project_Name].[All]" dimensionUniqueName="[tbl_Projects_1]" displayFolder="" count="2" memberValueDatatype="130" unbalanced="0"/>
    <cacheHierarchy uniqueName="[tbl_Projects_1].[Client]" caption="Client" attribute="1" defaultMemberUniqueName="[tbl_Projects_1].[Client].[All]" allUniqueName="[tbl_Projects_1].[Client].[All]" dimensionUniqueName="[tbl_Projects_1]" displayFolder="" count="2" memberValueDatatype="130" unbalanced="0"/>
    <cacheHierarchy uniqueName="[tbl_Projects_1].[Project_Manager]" caption="Project_Manager" attribute="1" defaultMemberUniqueName="[tbl_Projects_1].[Project_Manager].[All]" allUniqueName="[tbl_Projects_1].[Project_Manager].[All]" dimensionUniqueName="[tbl_Projects_1]" displayFolder="" count="2" memberValueDatatype="130" unbalanced="0"/>
    <cacheHierarchy uniqueName="[tbl_Projects_1].[Start_Date]" caption="Start_Date" attribute="1" time="1" defaultMemberUniqueName="[tbl_Projects_1].[Start_Date].[All]" allUniqueName="[tbl_Projects_1].[Start_Date].[All]" dimensionUniqueName="[tbl_Projects_1]" displayFolder="" count="2" memberValueDatatype="7" unbalanced="0"/>
    <cacheHierarchy uniqueName="[tbl_Projects_1].[Budget]" caption="Budget" attribute="1" defaultMemberUniqueName="[tbl_Projects_1].[Budget].[All]" allUniqueName="[tbl_Projects_1].[Budget].[All]" dimensionUniqueName="[tbl_Projects_1]" displayFolder="" count="2" memberValueDatatype="20" unbalanced="0"/>
    <cacheHierarchy uniqueName="[tbl_Task_Clean].[Task_ID]" caption="Task_ID" attribute="1" defaultMemberUniqueName="[tbl_Task_Clean].[Task_ID].[All]" allUniqueName="[tbl_Task_Clean].[Task_ID].[All]" dimensionUniqueName="[tbl_Task_Clean]" displayFolder="" count="2" memberValueDatatype="130" unbalanced="0"/>
    <cacheHierarchy uniqueName="[tbl_Task_Clean].[Project_ID]" caption="Project_ID" attribute="1" defaultMemberUniqueName="[tbl_Task_Clean].[Project_ID].[All]" allUniqueName="[tbl_Task_Clean].[Project_ID].[All]" dimensionUniqueName="[tbl_Task_Clean]" displayFolder="" count="2" memberValueDatatype="130" unbalanced="0"/>
    <cacheHierarchy uniqueName="[tbl_Task_Clean].[Project_Name]" caption="Project_Name" attribute="1" defaultMemberUniqueName="[tbl_Task_Clean].[Project_Name].[All]" allUniqueName="[tbl_Task_Clean].[Project_Name].[All]" dimensionUniqueName="[tbl_Task_Clean]" displayFolder="" count="2" memberValueDatatype="130" unbalanced="0">
      <fieldsUsage count="2">
        <fieldUsage x="-1"/>
        <fieldUsage x="0"/>
      </fieldsUsage>
    </cacheHierarchy>
    <cacheHierarchy uniqueName="[tbl_Task_Clean].[Task_Name]" caption="Task_Name" attribute="1" defaultMemberUniqueName="[tbl_Task_Clean].[Task_Name].[All]" allUniqueName="[tbl_Task_Clean].[Task_Name].[All]" dimensionUniqueName="[tbl_Task_Clean]" displayFolder="" count="2" memberValueDatatype="130" unbalanced="0"/>
    <cacheHierarchy uniqueName="[tbl_Task_Clean].[Department]" caption="Department" attribute="1" defaultMemberUniqueName="[tbl_Task_Clean].[Department].[All]" allUniqueName="[tbl_Task_Clean].[Department].[All]" dimensionUniqueName="[tbl_Task_Clean]" displayFolder="" count="2" memberValueDatatype="130" unbalanced="0">
      <fieldsUsage count="2">
        <fieldUsage x="-1"/>
        <fieldUsage x="1"/>
      </fieldsUsage>
    </cacheHierarchy>
    <cacheHierarchy uniqueName="[tbl_Task_Clean].[Assigned_To]" caption="Assigned_To" attribute="1" defaultMemberUniqueName="[tbl_Task_Clean].[Assigned_To].[All]" allUniqueName="[tbl_Task_Clean].[Assigned_To].[All]" dimensionUniqueName="[tbl_Task_Clean]" displayFolder="" count="2" memberValueDatatype="130" unbalanced="0"/>
    <cacheHierarchy uniqueName="[tbl_Task_Clean].[Priority]" caption="Priority" attribute="1" defaultMemberUniqueName="[tbl_Task_Clean].[Priority].[All]" allUniqueName="[tbl_Task_Clean].[Priority].[All]" dimensionUniqueName="[tbl_Task_Clean]" displayFolder="" count="2" memberValueDatatype="130" unbalanced="0">
      <fieldsUsage count="2">
        <fieldUsage x="-1"/>
        <fieldUsage x="6"/>
      </fieldsUsage>
    </cacheHierarchy>
    <cacheHierarchy uniqueName="[tbl_Task_Clean].[Status]" caption="Status" attribute="1" defaultMemberUniqueName="[tbl_Task_Clean].[Status].[All]" allUniqueName="[tbl_Task_Clean].[Status].[All]" dimensionUniqueName="[tbl_Task_Clean]" displayFolder="" count="2" memberValueDatatype="130" unbalanced="0"/>
    <cacheHierarchy uniqueName="[tbl_Task_Clean].[Planned_Cost]" caption="Planned_Cost" attribute="1" defaultMemberUniqueName="[tbl_Task_Clean].[Planned_Cost].[All]" allUniqueName="[tbl_Task_Clean].[Planned_Cost].[All]" dimensionUniqueName="[tbl_Task_Clean]" displayFolder="" count="2" memberValueDatatype="20" unbalanced="0"/>
    <cacheHierarchy uniqueName="[tbl_Task_Clean].[Actual_Cost]" caption="Actual_Cost" attribute="1" defaultMemberUniqueName="[tbl_Task_Clean].[Actual_Cost].[All]" allUniqueName="[tbl_Task_Clean].[Actual_Cost].[All]" dimensionUniqueName="[tbl_Task_Clean]" displayFolder="" count="2" memberValueDatatype="20" unbalanced="0"/>
    <cacheHierarchy uniqueName="[tbl_Task_Clean].[Start_Date]" caption="Start_Date" attribute="1" time="1" defaultMemberUniqueName="[tbl_Task_Clean].[Start_Date].[All]" allUniqueName="[tbl_Task_Clean].[Start_Date].[All]" dimensionUniqueName="[tbl_Task_Clean]" displayFolder="" count="2" memberValueDatatype="7" unbalanced="0"/>
    <cacheHierarchy uniqueName="[tbl_Task_Clean].[Planned_End_Date]" caption="Planned_End_Date" attribute="1" time="1" defaultMemberUniqueName="[tbl_Task_Clean].[Planned_End_Date].[All]" allUniqueName="[tbl_Task_Clean].[Planned_End_Date].[All]" dimensionUniqueName="[tbl_Task_Clean]" displayFolder="" count="2" memberValueDatatype="7" unbalanced="0"/>
    <cacheHierarchy uniqueName="[tbl_Task_Clean].[Actual_End_Date]" caption="Actual_End_Date" attribute="1" time="1" defaultMemberUniqueName="[tbl_Task_Clean].[Actual_End_Date].[All]" allUniqueName="[tbl_Task_Clean].[Actual_End_Date].[All]" dimensionUniqueName="[tbl_Task_Clean]" displayFolder="" count="2" memberValueDatatype="7" unbalanced="0"/>
    <cacheHierarchy uniqueName="[tbl_Task_Clean].[Planned_Duration_Days]" caption="Planned_Duration_Days" attribute="1" defaultMemberUniqueName="[tbl_Task_Clean].[Planned_Duration_Days].[All]" allUniqueName="[tbl_Task_Clean].[Planned_Duration_Days].[All]" dimensionUniqueName="[tbl_Task_Clean]" displayFolder="" count="2" memberValueDatatype="20" unbalanced="0"/>
    <cacheHierarchy uniqueName="[tbl_Task_Clean].[Delay_Days]" caption="Delay_Days" attribute="1" defaultMemberUniqueName="[tbl_Task_Clean].[Delay_Days].[All]" allUniqueName="[tbl_Task_Clean].[Delay_Days].[All]" dimensionUniqueName="[tbl_Task_Clean]" displayFolder="" count="2" memberValueDatatype="20" unbalanced="0"/>
    <cacheHierarchy uniqueName="[tbl_Task_Clean].[Client]" caption="Client" attribute="1" defaultMemberUniqueName="[tbl_Task_Clean].[Client].[All]" allUniqueName="[tbl_Task_Clean].[Client].[All]" dimensionUniqueName="[tbl_Task_Clean]" displayFolder="" count="2" memberValueDatatype="130" unbalanced="0"/>
    <cacheHierarchy uniqueName="[tbl_Task_Clean].[Project_Manager]" caption="Project_Manager" attribute="1" defaultMemberUniqueName="[tbl_Task_Clean].[Project_Manager].[All]" allUniqueName="[tbl_Task_Clean].[Project_Manager].[All]" dimensionUniqueName="[tbl_Task_Clean]" displayFolder="" count="2" memberValueDatatype="130" unbalanced="0"/>
    <cacheHierarchy uniqueName="[tbl_Task_Clean].[Budget]" caption="Budget" attribute="1" defaultMemberUniqueName="[tbl_Task_Clean].[Budget].[All]" allUniqueName="[tbl_Task_Clean].[Budget].[All]" dimensionUniqueName="[tbl_Task_Clean]" displayFolder="" count="2" memberValueDatatype="20" unbalanced="0"/>
    <cacheHierarchy uniqueName="[tbl_Task_Clean].[Employee_Department]" caption="Employee_Department" attribute="1" defaultMemberUniqueName="[tbl_Task_Clean].[Employee_Department].[All]" allUniqueName="[tbl_Task_Clean].[Employee_Department].[All]" dimensionUniqueName="[tbl_Task_Clean]" displayFolder="" count="2" memberValueDatatype="130" unbalanced="0"/>
    <cacheHierarchy uniqueName="[tbl_Task_Clean].[Hourly_Rate]" caption="Hourly_Rate" attribute="1" defaultMemberUniqueName="[tbl_Task_Clean].[Hourly_Rate].[All]" allUniqueName="[tbl_Task_Clean].[Hourly_Rate].[All]" dimensionUniqueName="[tbl_Task_Clean]" displayFolder="" count="2" memberValueDatatype="20" unbalanced="0"/>
    <cacheHierarchy uniqueName="[tbl_Task_Clean].[Cost_Variance]" caption="Cost_Variance" attribute="1" defaultMemberUniqueName="[tbl_Task_Clean].[Cost_Variance].[All]" allUniqueName="[tbl_Task_Clean].[Cost_Variance].[All]" dimensionUniqueName="[tbl_Task_Clean]" displayFolder="" count="2" memberValueDatatype="20" unbalanced="0"/>
    <cacheHierarchy uniqueName="[tbl_Task_Clean].[Cost_Variance_%]" caption="Cost_Variance_%" attribute="1" defaultMemberUniqueName="[tbl_Task_Clean].[Cost_Variance_%].[All]" allUniqueName="[tbl_Task_Clean].[Cost_Variance_%].[All]" dimensionUniqueName="[tbl_Task_Clean]" displayFolder="" count="2" memberValueDatatype="5" unbalanced="0"/>
    <cacheHierarchy uniqueName="[tbl_Task_Clean].[On_Flag]" caption="On_Flag" attribute="1" defaultMemberUniqueName="[tbl_Task_Clean].[On_Flag].[All]" allUniqueName="[tbl_Task_Clean].[On_Flag].[All]" dimensionUniqueName="[tbl_Task_Clean]" displayFolder="" count="2" memberValueDatatype="130" unbalanced="0"/>
    <cacheHierarchy uniqueName="[tbl_Task_Clean].[Task_Age_Category]" caption="Task_Age_Category" attribute="1" defaultMemberUniqueName="[tbl_Task_Clean].[Task_Age_Category].[All]" allUniqueName="[tbl_Task_Clean].[Task_Age_Category].[All]" dimensionUniqueName="[tbl_Task_Clean]" displayFolder="" count="2" memberValueDatatype="130" unbalanced="0"/>
    <cacheHierarchy uniqueName="[tbl_Task_Clean].[Manager_Lookup]" caption="Manager_Lookup" attribute="1" defaultMemberUniqueName="[tbl_Task_Clean].[Manager_Lookup].[All]" allUniqueName="[tbl_Task_Clean].[Manager_Lookup].[All]" dimensionUniqueName="[tbl_Task_Clean]" displayFolder="" count="2" memberValueDatatype="130" unbalanced="0"/>
    <cacheHierarchy uniqueName="[tbl_Task_Clean].[Delay_Description]" caption="Delay_Description" attribute="1" defaultMemberUniqueName="[tbl_Task_Clean].[Delay_Description].[All]" allUniqueName="[tbl_Task_Clean].[Delay_Description].[All]" dimensionUniqueName="[tbl_Task_Clean]" displayFolder="" count="2" memberValueDatatype="130" unbalanced="0"/>
    <cacheHierarchy uniqueName="[Measures].[Total Planned Cost]" caption="Total Planned Cost" measure="1" displayFolder="" measureGroup="tbl_Task_Clean" count="0" oneField="1">
      <fieldsUsage count="1">
        <fieldUsage x="2"/>
      </fieldsUsage>
    </cacheHierarchy>
    <cacheHierarchy uniqueName="[Measures].[Total Actual Cost]" caption="Total Actual Cost" measure="1" displayFolder="" measureGroup="tbl_Task_Clean" count="0" oneField="1">
      <fieldsUsage count="1">
        <fieldUsage x="3"/>
      </fieldsUsage>
    </cacheHierarchy>
    <cacheHierarchy uniqueName="[Measures].[Cost Variance]" caption="Cost Variance" measure="1" displayFolder="" measureGroup="tbl_Task_Clean" count="0"/>
    <cacheHierarchy uniqueName="[Measures].[Cost Variance %]" caption="Cost Variance %" measure="1" displayFolder="" measureGroup="tbl_Task_Clean" count="0" oneField="1">
      <fieldsUsage count="1">
        <fieldUsage x="4"/>
      </fieldsUsage>
    </cacheHierarchy>
    <cacheHierarchy uniqueName="[Measures].[Completed Tasks]" caption="Completed Tasks" measure="1" displayFolder="" measureGroup="tbl_Task_Clean" count="0"/>
    <cacheHierarchy uniqueName="[Measures].[On-Time Completion Rate]" caption="On-Time Completion Rate" measure="1" displayFolder="" measureGroup="tbl_Task_Clean" count="0" oneField="1">
      <fieldsUsage count="1">
        <fieldUsage x="5"/>
      </fieldsUsage>
    </cacheHierarchy>
    <cacheHierarchy uniqueName="[Measures].[Average Delay Days]" caption="Average Delay Days" measure="1" displayFolder="" measureGroup="tbl_Task_Clean" count="0"/>
    <cacheHierarchy uniqueName="[Measures].[__XL_Count Table3_1]" caption="__XL_Count Table3_1" measure="1" displayFolder="" measureGroup="tbl_Task_Clean" count="0" hidden="1"/>
    <cacheHierarchy uniqueName="[Measures].[__XL_Count tbl_Projects_1]" caption="__XL_Count tbl_Projects_1" measure="1" displayFolder="" measureGroup="tbl_Projects_1" count="0" hidden="1"/>
    <cacheHierarchy uniqueName="[Measures].[__XL_Count tbl_Employees_1]" caption="__XL_Count tbl_Employees_1" measure="1" displayFolder="" measureGroup="tbl_Employees_1" count="0" hidden="1"/>
    <cacheHierarchy uniqueName="[Measures].[__No measures defined]" caption="__No measures defined" measure="1" displayFolder="" count="0" hidden="1"/>
  </cacheHierarchies>
  <kpis count="0"/>
  <dimensions count="4">
    <dimension measure="1" name="Measures" uniqueName="[Measures]" caption="Measures"/>
    <dimension name="tbl_Employees_1" uniqueName="[tbl_Employees_1]" caption="tbl_Employees_1"/>
    <dimension name="tbl_Projects_1" uniqueName="[tbl_Projects_1]" caption="tbl_Projects_1"/>
    <dimension name="tbl_Task_Clean" uniqueName="[tbl_Task_Clean]" caption="tbl_Task_Clean"/>
  </dimensions>
  <measureGroups count="3">
    <measureGroup name="tbl_Employees_1" caption="tbl_Employees_1"/>
    <measureGroup name="tbl_Projects_1" caption="tbl_Projects_1"/>
    <measureGroup name="tbl_Task_Clean" caption="tbl_Task_Clean"/>
  </measureGroups>
  <maps count="5">
    <map measureGroup="0" dimension="1"/>
    <map measureGroup="1" dimension="2"/>
    <map measureGroup="2" dimension="1"/>
    <map measureGroup="2"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ilisia makram" refreshedDate="46222.203749074077" backgroundQuery="1" createdVersion="3" refreshedVersion="8" minRefreshableVersion="3" recordCount="0" supportSubquery="1" supportAdvancedDrill="1" xr:uid="{727E3CA2-78E1-4E08-B466-FFECB7D8EE40}">
  <cacheSource type="external" connectionId="4">
    <extLst>
      <ext xmlns:x14="http://schemas.microsoft.com/office/spreadsheetml/2009/9/main" uri="{F057638F-6D5F-4e77-A914-E7F072B9BCA8}">
        <x14:sourceConnection name="ThisWorkbookDataModel"/>
      </ext>
    </extLst>
  </cacheSource>
  <cacheFields count="0"/>
  <cacheHierarchies count="48">
    <cacheHierarchy uniqueName="[tbl_Employees_1].[Employee_ID]" caption="Employee_ID" attribute="1" defaultMemberUniqueName="[tbl_Employees_1].[Employee_ID].[All]" allUniqueName="[tbl_Employees_1].[Employee_ID].[All]" dimensionUniqueName="[tbl_Employees_1]" displayFolder="" count="0" memberValueDatatype="130" unbalanced="0"/>
    <cacheHierarchy uniqueName="[tbl_Employees_1].[Employee_Name]" caption="Employee_Name" attribute="1" defaultMemberUniqueName="[tbl_Employees_1].[Employee_Name].[All]" allUniqueName="[tbl_Employees_1].[Employee_Name].[All]" dimensionUniqueName="[tbl_Employees_1]" displayFolder="" count="0" memberValueDatatype="130" unbalanced="0"/>
    <cacheHierarchy uniqueName="[tbl_Employees_1].[Department]" caption="Department" attribute="1" defaultMemberUniqueName="[tbl_Employees_1].[Department].[All]" allUniqueName="[tbl_Employees_1].[Department].[All]" dimensionUniqueName="[tbl_Employees_1]" displayFolder="" count="0" memberValueDatatype="130" unbalanced="0"/>
    <cacheHierarchy uniqueName="[tbl_Employees_1].[Role]" caption="Role" attribute="1" defaultMemberUniqueName="[tbl_Employees_1].[Role].[All]" allUniqueName="[tbl_Employees_1].[Role].[All]" dimensionUniqueName="[tbl_Employees_1]" displayFolder="" count="0" memberValueDatatype="130" unbalanced="0"/>
    <cacheHierarchy uniqueName="[tbl_Employees_1].[Hourly_Rate]" caption="Hourly_Rate" attribute="1" defaultMemberUniqueName="[tbl_Employees_1].[Hourly_Rate].[All]" allUniqueName="[tbl_Employees_1].[Hourly_Rate].[All]" dimensionUniqueName="[tbl_Employees_1]" displayFolder="" count="0" memberValueDatatype="20" unbalanced="0"/>
    <cacheHierarchy uniqueName="[tbl_Projects_1].[Project_ID]" caption="Project_ID" attribute="1" defaultMemberUniqueName="[tbl_Projects_1].[Project_ID].[All]" allUniqueName="[tbl_Projects_1].[Project_ID].[All]" dimensionUniqueName="[tbl_Projects_1]" displayFolder="" count="0" memberValueDatatype="130" unbalanced="0"/>
    <cacheHierarchy uniqueName="[tbl_Projects_1].[Project_Name]" caption="Project_Name" attribute="1" defaultMemberUniqueName="[tbl_Projects_1].[Project_Name].[All]" allUniqueName="[tbl_Projects_1].[Project_Name].[All]" dimensionUniqueName="[tbl_Projects_1]" displayFolder="" count="0" memberValueDatatype="130" unbalanced="0"/>
    <cacheHierarchy uniqueName="[tbl_Projects_1].[Client]" caption="Client" attribute="1" defaultMemberUniqueName="[tbl_Projects_1].[Client].[All]" allUniqueName="[tbl_Projects_1].[Client].[All]" dimensionUniqueName="[tbl_Projects_1]" displayFolder="" count="0" memberValueDatatype="130" unbalanced="0"/>
    <cacheHierarchy uniqueName="[tbl_Projects_1].[Project_Manager]" caption="Project_Manager" attribute="1" defaultMemberUniqueName="[tbl_Projects_1].[Project_Manager].[All]" allUniqueName="[tbl_Projects_1].[Project_Manager].[All]" dimensionUniqueName="[tbl_Projects_1]" displayFolder="" count="0" memberValueDatatype="130" unbalanced="0"/>
    <cacheHierarchy uniqueName="[tbl_Projects_1].[Start_Date]" caption="Start_Date" attribute="1" time="1" defaultMemberUniqueName="[tbl_Projects_1].[Start_Date].[All]" allUniqueName="[tbl_Projects_1].[Start_Date].[All]" dimensionUniqueName="[tbl_Projects_1]" displayFolder="" count="0" memberValueDatatype="7" unbalanced="0"/>
    <cacheHierarchy uniqueName="[tbl_Projects_1].[Budget]" caption="Budget" attribute="1" defaultMemberUniqueName="[tbl_Projects_1].[Budget].[All]" allUniqueName="[tbl_Projects_1].[Budget].[All]" dimensionUniqueName="[tbl_Projects_1]" displayFolder="" count="0" memberValueDatatype="20" unbalanced="0"/>
    <cacheHierarchy uniqueName="[tbl_Task_Clean].[Task_ID]" caption="Task_ID" attribute="1" defaultMemberUniqueName="[tbl_Task_Clean].[Task_ID].[All]" allUniqueName="[tbl_Task_Clean].[Task_ID].[All]" dimensionUniqueName="[tbl_Task_Clean]" displayFolder="" count="0" memberValueDatatype="130" unbalanced="0"/>
    <cacheHierarchy uniqueName="[tbl_Task_Clean].[Project_ID]" caption="Project_ID" attribute="1" defaultMemberUniqueName="[tbl_Task_Clean].[Project_ID].[All]" allUniqueName="[tbl_Task_Clean].[Project_ID].[All]" dimensionUniqueName="[tbl_Task_Clean]" displayFolder="" count="0" memberValueDatatype="130" unbalanced="0"/>
    <cacheHierarchy uniqueName="[tbl_Task_Clean].[Project_Name]" caption="Project_Name" attribute="1" defaultMemberUniqueName="[tbl_Task_Clean].[Project_Name].[All]" allUniqueName="[tbl_Task_Clean].[Project_Name].[All]" dimensionUniqueName="[tbl_Task_Clean]" displayFolder="" count="0" memberValueDatatype="130" unbalanced="0"/>
    <cacheHierarchy uniqueName="[tbl_Task_Clean].[Task_Name]" caption="Task_Name" attribute="1" defaultMemberUniqueName="[tbl_Task_Clean].[Task_Name].[All]" allUniqueName="[tbl_Task_Clean].[Task_Name].[All]" dimensionUniqueName="[tbl_Task_Clean]" displayFolder="" count="0" memberValueDatatype="130" unbalanced="0"/>
    <cacheHierarchy uniqueName="[tbl_Task_Clean].[Department]" caption="Department" attribute="1" defaultMemberUniqueName="[tbl_Task_Clean].[Department].[All]" allUniqueName="[tbl_Task_Clean].[Department].[All]" dimensionUniqueName="[tbl_Task_Clean]" displayFolder="" count="2" memberValueDatatype="130" unbalanced="0"/>
    <cacheHierarchy uniqueName="[tbl_Task_Clean].[Assigned_To]" caption="Assigned_To" attribute="1" defaultMemberUniqueName="[tbl_Task_Clean].[Assigned_To].[All]" allUniqueName="[tbl_Task_Clean].[Assigned_To].[All]" dimensionUniqueName="[tbl_Task_Clean]" displayFolder="" count="0" memberValueDatatype="130" unbalanced="0"/>
    <cacheHierarchy uniqueName="[tbl_Task_Clean].[Priority]" caption="Priority" attribute="1" defaultMemberUniqueName="[tbl_Task_Clean].[Priority].[All]" allUniqueName="[tbl_Task_Clean].[Priority].[All]" dimensionUniqueName="[tbl_Task_Clean]" displayFolder="" count="2" memberValueDatatype="130" unbalanced="0"/>
    <cacheHierarchy uniqueName="[tbl_Task_Clean].[Status]" caption="Status" attribute="1" defaultMemberUniqueName="[tbl_Task_Clean].[Status].[All]" allUniqueName="[tbl_Task_Clean].[Status].[All]" dimensionUniqueName="[tbl_Task_Clean]" displayFolder="" count="0" memberValueDatatype="130" unbalanced="0"/>
    <cacheHierarchy uniqueName="[tbl_Task_Clean].[Planned_Cost]" caption="Planned_Cost" attribute="1" defaultMemberUniqueName="[tbl_Task_Clean].[Planned_Cost].[All]" allUniqueName="[tbl_Task_Clean].[Planned_Cost].[All]" dimensionUniqueName="[tbl_Task_Clean]" displayFolder="" count="0" memberValueDatatype="20" unbalanced="0"/>
    <cacheHierarchy uniqueName="[tbl_Task_Clean].[Actual_Cost]" caption="Actual_Cost" attribute="1" defaultMemberUniqueName="[tbl_Task_Clean].[Actual_Cost].[All]" allUniqueName="[tbl_Task_Clean].[Actual_Cost].[All]" dimensionUniqueName="[tbl_Task_Clean]" displayFolder="" count="0" memberValueDatatype="20" unbalanced="0"/>
    <cacheHierarchy uniqueName="[tbl_Task_Clean].[Start_Date]" caption="Start_Date" attribute="1" time="1" defaultMemberUniqueName="[tbl_Task_Clean].[Start_Date].[All]" allUniqueName="[tbl_Task_Clean].[Start_Date].[All]" dimensionUniqueName="[tbl_Task_Clean]" displayFolder="" count="0" memberValueDatatype="7" unbalanced="0"/>
    <cacheHierarchy uniqueName="[tbl_Task_Clean].[Planned_End_Date]" caption="Planned_End_Date" attribute="1" time="1" defaultMemberUniqueName="[tbl_Task_Clean].[Planned_End_Date].[All]" allUniqueName="[tbl_Task_Clean].[Planned_End_Date].[All]" dimensionUniqueName="[tbl_Task_Clean]" displayFolder="" count="0" memberValueDatatype="7" unbalanced="0"/>
    <cacheHierarchy uniqueName="[tbl_Task_Clean].[Actual_End_Date]" caption="Actual_End_Date" attribute="1" time="1" defaultMemberUniqueName="[tbl_Task_Clean].[Actual_End_Date].[All]" allUniqueName="[tbl_Task_Clean].[Actual_End_Date].[All]" dimensionUniqueName="[tbl_Task_Clean]" displayFolder="" count="0" memberValueDatatype="7" unbalanced="0"/>
    <cacheHierarchy uniqueName="[tbl_Task_Clean].[Planned_Duration_Days]" caption="Planned_Duration_Days" attribute="1" defaultMemberUniqueName="[tbl_Task_Clean].[Planned_Duration_Days].[All]" allUniqueName="[tbl_Task_Clean].[Planned_Duration_Days].[All]" dimensionUniqueName="[tbl_Task_Clean]" displayFolder="" count="0" memberValueDatatype="20" unbalanced="0"/>
    <cacheHierarchy uniqueName="[tbl_Task_Clean].[Delay_Days]" caption="Delay_Days" attribute="1" defaultMemberUniqueName="[tbl_Task_Clean].[Delay_Days].[All]" allUniqueName="[tbl_Task_Clean].[Delay_Days].[All]" dimensionUniqueName="[tbl_Task_Clean]" displayFolder="" count="0" memberValueDatatype="20" unbalanced="0"/>
    <cacheHierarchy uniqueName="[tbl_Task_Clean].[Client]" caption="Client" attribute="1" defaultMemberUniqueName="[tbl_Task_Clean].[Client].[All]" allUniqueName="[tbl_Task_Clean].[Client].[All]" dimensionUniqueName="[tbl_Task_Clean]" displayFolder="" count="0" memberValueDatatype="130" unbalanced="0"/>
    <cacheHierarchy uniqueName="[tbl_Task_Clean].[Project_Manager]" caption="Project_Manager" attribute="1" defaultMemberUniqueName="[tbl_Task_Clean].[Project_Manager].[All]" allUniqueName="[tbl_Task_Clean].[Project_Manager].[All]" dimensionUniqueName="[tbl_Task_Clean]" displayFolder="" count="0" memberValueDatatype="130" unbalanced="0"/>
    <cacheHierarchy uniqueName="[tbl_Task_Clean].[Budget]" caption="Budget" attribute="1" defaultMemberUniqueName="[tbl_Task_Clean].[Budget].[All]" allUniqueName="[tbl_Task_Clean].[Budget].[All]" dimensionUniqueName="[tbl_Task_Clean]" displayFolder="" count="0" memberValueDatatype="20" unbalanced="0"/>
    <cacheHierarchy uniqueName="[tbl_Task_Clean].[Employee_Department]" caption="Employee_Department" attribute="1" defaultMemberUniqueName="[tbl_Task_Clean].[Employee_Department].[All]" allUniqueName="[tbl_Task_Clean].[Employee_Department].[All]" dimensionUniqueName="[tbl_Task_Clean]" displayFolder="" count="0" memberValueDatatype="130" unbalanced="0"/>
    <cacheHierarchy uniqueName="[tbl_Task_Clean].[Hourly_Rate]" caption="Hourly_Rate" attribute="1" defaultMemberUniqueName="[tbl_Task_Clean].[Hourly_Rate].[All]" allUniqueName="[tbl_Task_Clean].[Hourly_Rate].[All]" dimensionUniqueName="[tbl_Task_Clean]" displayFolder="" count="0" memberValueDatatype="20" unbalanced="0"/>
    <cacheHierarchy uniqueName="[tbl_Task_Clean].[Cost_Variance]" caption="Cost_Variance" attribute="1" defaultMemberUniqueName="[tbl_Task_Clean].[Cost_Variance].[All]" allUniqueName="[tbl_Task_Clean].[Cost_Variance].[All]" dimensionUniqueName="[tbl_Task_Clean]" displayFolder="" count="0" memberValueDatatype="20" unbalanced="0"/>
    <cacheHierarchy uniqueName="[tbl_Task_Clean].[Cost_Variance_%]" caption="Cost_Variance_%" attribute="1" defaultMemberUniqueName="[tbl_Task_Clean].[Cost_Variance_%].[All]" allUniqueName="[tbl_Task_Clean].[Cost_Variance_%].[All]" dimensionUniqueName="[tbl_Task_Clean]" displayFolder="" count="0" memberValueDatatype="5" unbalanced="0"/>
    <cacheHierarchy uniqueName="[tbl_Task_Clean].[On_Flag]" caption="On_Flag" attribute="1" defaultMemberUniqueName="[tbl_Task_Clean].[On_Flag].[All]" allUniqueName="[tbl_Task_Clean].[On_Flag].[All]" dimensionUniqueName="[tbl_Task_Clean]" displayFolder="" count="0" memberValueDatatype="130" unbalanced="0"/>
    <cacheHierarchy uniqueName="[tbl_Task_Clean].[Task_Age_Category]" caption="Task_Age_Category" attribute="1" defaultMemberUniqueName="[tbl_Task_Clean].[Task_Age_Category].[All]" allUniqueName="[tbl_Task_Clean].[Task_Age_Category].[All]" dimensionUniqueName="[tbl_Task_Clean]" displayFolder="" count="0" memberValueDatatype="130" unbalanced="0"/>
    <cacheHierarchy uniqueName="[tbl_Task_Clean].[Manager_Lookup]" caption="Manager_Lookup" attribute="1" defaultMemberUniqueName="[tbl_Task_Clean].[Manager_Lookup].[All]" allUniqueName="[tbl_Task_Clean].[Manager_Lookup].[All]" dimensionUniqueName="[tbl_Task_Clean]" displayFolder="" count="0" memberValueDatatype="130" unbalanced="0"/>
    <cacheHierarchy uniqueName="[tbl_Task_Clean].[Delay_Description]" caption="Delay_Description" attribute="1" defaultMemberUniqueName="[tbl_Task_Clean].[Delay_Description].[All]" allUniqueName="[tbl_Task_Clean].[Delay_Description].[All]" dimensionUniqueName="[tbl_Task_Clean]" displayFolder="" count="0" memberValueDatatype="130" unbalanced="0"/>
    <cacheHierarchy uniqueName="[Measures].[Total Planned Cost]" caption="Total Planned Cost" measure="1" displayFolder="" measureGroup="tbl_Task_Clean" count="0"/>
    <cacheHierarchy uniqueName="[Measures].[Total Actual Cost]" caption="Total Actual Cost" measure="1" displayFolder="" measureGroup="tbl_Task_Clean" count="0"/>
    <cacheHierarchy uniqueName="[Measures].[Cost Variance]" caption="Cost Variance" measure="1" displayFolder="" measureGroup="tbl_Task_Clean" count="0"/>
    <cacheHierarchy uniqueName="[Measures].[Cost Variance %]" caption="Cost Variance %" measure="1" displayFolder="" measureGroup="tbl_Task_Clean" count="0"/>
    <cacheHierarchy uniqueName="[Measures].[Completed Tasks]" caption="Completed Tasks" measure="1" displayFolder="" measureGroup="tbl_Task_Clean" count="0"/>
    <cacheHierarchy uniqueName="[Measures].[On-Time Completion Rate]" caption="On-Time Completion Rate" measure="1" displayFolder="" measureGroup="tbl_Task_Clean" count="0"/>
    <cacheHierarchy uniqueName="[Measures].[Average Delay Days]" caption="Average Delay Days" measure="1" displayFolder="" measureGroup="tbl_Task_Clean" count="0"/>
    <cacheHierarchy uniqueName="[Measures].[__XL_Count Table3_1]" caption="__XL_Count Table3_1" measure="1" displayFolder="" measureGroup="tbl_Task_Clean" count="0" hidden="1"/>
    <cacheHierarchy uniqueName="[Measures].[__XL_Count tbl_Projects_1]" caption="__XL_Count tbl_Projects_1" measure="1" displayFolder="" measureGroup="tbl_Projects_1" count="0" hidden="1"/>
    <cacheHierarchy uniqueName="[Measures].[__XL_Count tbl_Employees_1]" caption="__XL_Count tbl_Employees_1" measure="1" displayFolder="" measureGroup="tbl_Employees_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0739142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5">
  <r>
    <s v="TSK-0085"/>
    <s v="PRJ-004"/>
    <x v="0"/>
    <s v="Audit marketing collateral"/>
    <x v="0"/>
    <x v="0"/>
    <x v="0"/>
    <x v="0"/>
    <n v="1500"/>
    <n v="1396"/>
    <d v="2024-07-05T00:00:00"/>
    <d v="2024-08-02T00:00:00"/>
    <d v="2024-08-09T00:00:00"/>
    <n v="28"/>
    <n v="7"/>
    <s v="Cairo Financial Services"/>
    <s v="Laila Samir"/>
    <n v="75000"/>
    <s v="HR"/>
    <n v="150"/>
    <n v="-104"/>
    <n v="-6.933333333333333E-2"/>
    <s v="N/A"/>
    <s v="Long (&gt;20 days)"/>
    <s v="Laila Samir"/>
    <s v="Delayed by 7 days"/>
  </r>
  <r>
    <s v="TSK-0014"/>
    <s v="PRJ-001"/>
    <x v="1"/>
    <s v="Deploy inventory system"/>
    <x v="1"/>
    <x v="0"/>
    <x v="0"/>
    <x v="1"/>
    <n v="1500"/>
    <n v="618"/>
    <d v="2024-08-14T00:00:00"/>
    <d v="2024-09-07T00:00:00"/>
    <m/>
    <n v="24"/>
    <n v="0"/>
    <s v="Nile Corp"/>
    <s v="Mona Farid"/>
    <n v="75000"/>
    <s v="HR"/>
    <n v="150"/>
    <n v="-882"/>
    <n v="-0.58799999999999997"/>
    <s v="N/A"/>
    <s v="Long (&gt;20 days)"/>
    <s v="Mona Farid"/>
    <s v="On schedule"/>
  </r>
  <r>
    <s v="TSK-0053"/>
    <s v="PRJ-003"/>
    <x v="2"/>
    <s v="Migrate API integration"/>
    <x v="2"/>
    <x v="0"/>
    <x v="0"/>
    <x v="2"/>
    <n v="4000"/>
    <n v="5187"/>
    <d v="2024-06-07T00:00:00"/>
    <d v="2024-06-30T00:00:00"/>
    <d v="2024-06-27T00:00:00"/>
    <n v="23"/>
    <n v="-3"/>
    <s v="Alexandria Logistics"/>
    <s v="Ahmed Nabil"/>
    <n v="100000"/>
    <s v="HR"/>
    <n v="150"/>
    <n v="1187"/>
    <n v="0.29675000000000001"/>
    <s v="On Time"/>
    <s v="Long (&gt;20 days)"/>
    <s v="Ahmed Nabil"/>
    <s v="Early by 3 days"/>
  </r>
  <r>
    <s v="TSK-0082"/>
    <s v="PRJ-004"/>
    <x v="0"/>
    <s v="Audit budget report"/>
    <x v="3"/>
    <x v="1"/>
    <x v="1"/>
    <x v="3"/>
    <n v="0"/>
    <n v="6098"/>
    <d v="2024-10-29T00:00:00"/>
    <d v="2024-11-03T00:00:00"/>
    <d v="2024-11-02T00:00:00"/>
    <n v="5"/>
    <n v="-1"/>
    <s v="Cairo Financial Services"/>
    <s v="Laila Samir"/>
    <n v="75000"/>
    <s v="IT"/>
    <n v="220"/>
    <n v="6098"/>
    <n v="0"/>
    <s v="N/A"/>
    <s v="Short (&lt;=7 days)"/>
    <s v="Laila Samir"/>
    <s v="Early by 1 days"/>
  </r>
  <r>
    <s v="TSK-0276"/>
    <s v="PRJ-014"/>
    <x v="3"/>
    <s v="Develop backup procedure"/>
    <x v="1"/>
    <x v="2"/>
    <x v="1"/>
    <x v="1"/>
    <n v="4000"/>
    <n v="1731"/>
    <d v="2024-05-23T00:00:00"/>
    <d v="2024-06-20T00:00:00"/>
    <m/>
    <n v="28"/>
    <n v="0"/>
    <s v="Orbit Media"/>
    <s v="Ahmed Nabil"/>
    <n v="300000"/>
    <s v="Marketing"/>
    <n v="280"/>
    <n v="-2269"/>
    <n v="-0.56725000000000003"/>
    <s v="N/A"/>
    <s v="Long (&gt;20 days)"/>
    <s v="Ahmed Nabil"/>
    <s v="On schedule"/>
  </r>
  <r>
    <s v="TSK-0104"/>
    <s v="PRJ-005"/>
    <x v="4"/>
    <s v="Install budget report"/>
    <x v="0"/>
    <x v="2"/>
    <x v="2"/>
    <x v="2"/>
    <n v="2000"/>
    <n v="2594"/>
    <m/>
    <m/>
    <m/>
    <m/>
    <n v="0"/>
    <s v="Horizon Manufacturing"/>
    <s v="Ahmed Nabil"/>
    <n v="50000"/>
    <s v="Marketing"/>
    <n v="280"/>
    <n v="594"/>
    <n v="0.29699999999999999"/>
    <s v="On Time"/>
    <s v="Short (&lt;=7 days)"/>
    <s v="Ahmed Nabil"/>
    <s v="On schedule"/>
  </r>
  <r>
    <s v="TSK-0192"/>
    <s v="PRJ-010"/>
    <x v="5"/>
    <s v="Analyze security policy"/>
    <x v="2"/>
    <x v="2"/>
    <x v="0"/>
    <x v="4"/>
    <n v="8000"/>
    <n v="0"/>
    <d v="2024-06-19T00:00:00"/>
    <d v="2024-06-24T00:00:00"/>
    <m/>
    <n v="5"/>
    <n v="0"/>
    <s v="Internal"/>
    <s v="Sara Hassan"/>
    <n v="150000"/>
    <s v="Marketing"/>
    <n v="280"/>
    <n v="-8000"/>
    <n v="-1"/>
    <s v="N/A"/>
    <s v="Short (&lt;=7 days)"/>
    <s v="Sara Hassan"/>
    <s v="On schedule"/>
  </r>
  <r>
    <s v="TSK-0245"/>
    <s v="PRJ-012"/>
    <x v="6"/>
    <s v="Test marketing collateral"/>
    <x v="3"/>
    <x v="2"/>
    <x v="2"/>
    <x v="2"/>
    <n v="1500"/>
    <n v="1982"/>
    <d v="2024-02-26T00:00:00"/>
    <d v="2024-03-15T00:00:00"/>
    <d v="2024-03-15T00:00:00"/>
    <n v="18"/>
    <n v="0"/>
    <s v="Red Sea Tourism"/>
    <s v="Ahmed Nabil"/>
    <n v="250000"/>
    <s v="Marketing"/>
    <n v="280"/>
    <n v="482"/>
    <n v="0.32133333333333336"/>
    <s v="On Time"/>
    <s v="Medium (8-20 days)"/>
    <s v="Ahmed Nabil"/>
    <s v="On schedule"/>
  </r>
  <r>
    <s v="TSK-0153"/>
    <s v="PRJ-008"/>
    <x v="7"/>
    <s v="Audit inventory system"/>
    <x v="4"/>
    <x v="3"/>
    <x v="0"/>
    <x v="5"/>
    <n v="10000"/>
    <n v="5964"/>
    <d v="2024-04-13T00:00:00"/>
    <d v="2024-05-07T00:00:00"/>
    <m/>
    <n v="24"/>
    <n v="0"/>
    <s v="Pharos Holdings"/>
    <s v="Nourhan Tarek"/>
    <n v="300000"/>
    <s v="IT"/>
    <n v="280"/>
    <n v="-4036"/>
    <n v="-0.40360000000000001"/>
    <s v="N/A"/>
    <s v="Long (&gt;20 days)"/>
    <s v="Nourhan Tarek"/>
    <s v="On schedule"/>
  </r>
  <r>
    <s v="TSK-0288"/>
    <s v="PRJ-014"/>
    <x v="3"/>
    <s v="Optimize customer feedback survey"/>
    <x v="2"/>
    <x v="4"/>
    <x v="2"/>
    <x v="2"/>
    <n v="1000"/>
    <n v="1263"/>
    <m/>
    <m/>
    <m/>
    <m/>
    <n v="0"/>
    <s v="Orbit Media"/>
    <s v="Ahmed Nabil"/>
    <n v="300000"/>
    <s v="Quality Assurance"/>
    <n v="200"/>
    <n v="263"/>
    <n v="0.26300000000000001"/>
    <s v="On Time"/>
    <s v="Short (&lt;=7 days)"/>
    <s v="Ahmed Nabil"/>
    <s v="On schedule"/>
  </r>
  <r>
    <s v="TSK-0204"/>
    <s v="PRJ-010"/>
    <x v="5"/>
    <s v="Document warehouse layout"/>
    <x v="2"/>
    <x v="4"/>
    <x v="1"/>
    <x v="3"/>
    <n v="2500"/>
    <n v="2216"/>
    <d v="2024-04-22T00:00:00"/>
    <d v="2024-05-02T00:00:00"/>
    <d v="2024-05-04T00:00:00"/>
    <n v="10"/>
    <n v="2"/>
    <s v="Internal"/>
    <s v="Sara Hassan"/>
    <n v="150000"/>
    <s v="Quality Assurance"/>
    <n v="200"/>
    <n v="-284"/>
    <n v="-0.11360000000000001"/>
    <s v="N/A"/>
    <s v="Medium (8-20 days)"/>
    <s v="Sara Hassan"/>
    <s v="Delayed by 2 days"/>
  </r>
  <r>
    <s v="TSK-0211"/>
    <s v="PRJ-011"/>
    <x v="8"/>
    <s v="Document training material"/>
    <x v="2"/>
    <x v="5"/>
    <x v="1"/>
    <x v="1"/>
    <n v="4000"/>
    <n v="2110"/>
    <d v="2024-06-30T00:00:00"/>
    <d v="2024-07-15T00:00:00"/>
    <m/>
    <n v="15"/>
    <n v="0"/>
    <s v="Giza Health Systems"/>
    <s v="Ahmed Nabil"/>
    <n v="200000"/>
    <s v="IT"/>
    <n v="180"/>
    <n v="-1890"/>
    <n v="-0.47249999999999998"/>
    <s v="N/A"/>
    <s v="Medium (8-20 days)"/>
    <s v="Ahmed Nabil"/>
    <s v="On schedule"/>
  </r>
  <r>
    <s v="TSK-0038"/>
    <s v="PRJ-002"/>
    <x v="9"/>
    <s v="Audit API integration"/>
    <x v="5"/>
    <x v="5"/>
    <x v="1"/>
    <x v="4"/>
    <n v="6000"/>
    <n v="0"/>
    <d v="2024-08-09T00:00:00"/>
    <d v="2024-09-01T00:00:00"/>
    <m/>
    <n v="23"/>
    <n v="0"/>
    <s v="Delta Retail Group"/>
    <s v="Youssef Adel"/>
    <n v="150000"/>
    <s v="IT"/>
    <n v="180"/>
    <n v="-6000"/>
    <n v="-1"/>
    <s v="N/A"/>
    <s v="Long (&gt;20 days)"/>
    <s v="Youssef Adel"/>
    <s v="On schedule"/>
  </r>
  <r>
    <s v="TSK-0216"/>
    <s v="PRJ-011"/>
    <x v="8"/>
    <s v="Procure warehouse layout"/>
    <x v="3"/>
    <x v="6"/>
    <x v="2"/>
    <x v="1"/>
    <n v="1500"/>
    <n v="377"/>
    <d v="2024-04-03T00:00:00"/>
    <d v="2024-04-30T00:00:00"/>
    <m/>
    <n v="27"/>
    <n v="0"/>
    <s v="Giza Health Systems"/>
    <s v="Ahmed Nabil"/>
    <n v="200000"/>
    <s v="Finance"/>
    <n v="280"/>
    <n v="-1123"/>
    <n v="-0.7486666666666667"/>
    <s v="N/A"/>
    <s v="Long (&gt;20 days)"/>
    <s v="Ahmed Nabil"/>
    <s v="On schedule"/>
  </r>
  <r>
    <s v="TSK-0093"/>
    <s v="PRJ-005"/>
    <x v="4"/>
    <s v="Procure vendor contract"/>
    <x v="3"/>
    <x v="7"/>
    <x v="0"/>
    <x v="2"/>
    <n v="0"/>
    <n v="2553"/>
    <d v="2024-01-10T00:00:00"/>
    <d v="2024-01-15T00:00:00"/>
    <d v="2024-01-12T00:00:00"/>
    <n v="5"/>
    <n v="-3"/>
    <s v="Horizon Manufacturing"/>
    <s v="Ahmed Nabil"/>
    <n v="50000"/>
    <s v="IT"/>
    <n v="220"/>
    <n v="2553"/>
    <n v="0"/>
    <s v="On Time"/>
    <s v="Short (&lt;=7 days)"/>
    <s v="Ahmed Nabil"/>
    <s v="Early by 3 days"/>
  </r>
  <r>
    <s v="TSK-0212"/>
    <s v="PRJ-011"/>
    <x v="8"/>
    <s v="Test backup procedure"/>
    <x v="2"/>
    <x v="8"/>
    <x v="1"/>
    <x v="4"/>
    <n v="5000"/>
    <n v="0"/>
    <d v="2024-05-22T00:00:00"/>
    <d v="2024-05-30T00:00:00"/>
    <m/>
    <n v="8"/>
    <n v="0"/>
    <s v="Giza Health Systems"/>
    <s v="Ahmed Nabil"/>
    <n v="200000"/>
    <s v="Operations"/>
    <n v="180"/>
    <n v="-5000"/>
    <n v="-1"/>
    <s v="N/A"/>
    <s v="Medium (8-20 days)"/>
    <s v="Ahmed Nabil"/>
    <s v="On schedule"/>
  </r>
  <r>
    <s v="TSK-0058"/>
    <s v="PRJ-003"/>
    <x v="2"/>
    <s v="Audit inventory system"/>
    <x v="4"/>
    <x v="9"/>
    <x v="0"/>
    <x v="4"/>
    <n v="1000"/>
    <n v="0"/>
    <d v="2024-07-20T00:00:00"/>
    <d v="2024-08-19T00:00:00"/>
    <m/>
    <n v="30"/>
    <n v="0"/>
    <s v="Alexandria Logistics"/>
    <s v="Ahmed Nabil"/>
    <n v="100000"/>
    <s v="Procurement"/>
    <n v="150"/>
    <n v="-1000"/>
    <n v="-1"/>
    <s v="N/A"/>
    <s v="Long (&gt;20 days)"/>
    <s v="Ahmed Nabil"/>
    <s v="On schedule"/>
  </r>
  <r>
    <s v="TSK-0213"/>
    <s v="PRJ-011"/>
    <x v="8"/>
    <s v="Train users on hardware setup"/>
    <x v="3"/>
    <x v="10"/>
    <x v="2"/>
    <x v="1"/>
    <n v="1500"/>
    <n v="598"/>
    <d v="2024-04-05T00:00:00"/>
    <d v="2024-04-09T00:00:00"/>
    <m/>
    <n v="4"/>
    <n v="0"/>
    <s v="Giza Health Systems"/>
    <s v="Ahmed Nabil"/>
    <n v="200000"/>
    <s v="Operations"/>
    <n v="180"/>
    <n v="-902"/>
    <n v="-0.60133333333333339"/>
    <s v="N/A"/>
    <s v="Short (&lt;=7 days)"/>
    <s v="Ahmed Nabil"/>
    <s v="On schedule"/>
  </r>
  <r>
    <s v="TSK-0024"/>
    <s v="PRJ-002"/>
    <x v="9"/>
    <s v="Migrate backup procedure"/>
    <x v="0"/>
    <x v="11"/>
    <x v="2"/>
    <x v="2"/>
    <n v="1500"/>
    <n v="1799"/>
    <d v="2024-09-07T00:00:00"/>
    <d v="2024-09-18T00:00:00"/>
    <d v="2024-09-18T00:00:00"/>
    <n v="11"/>
    <n v="0"/>
    <s v="Delta Retail Group"/>
    <s v="Youssef Adel"/>
    <n v="150000"/>
    <s v="Operations"/>
    <n v="200"/>
    <n v="299"/>
    <n v="0.19933333333333333"/>
    <s v="On Time"/>
    <s v="Medium (8-20 days)"/>
    <s v="Youssef Adel"/>
    <s v="On schedule"/>
  </r>
  <r>
    <s v="TSK-0122"/>
    <s v="PRJ-006"/>
    <x v="10"/>
    <s v="Audit vendor contract"/>
    <x v="0"/>
    <x v="12"/>
    <x v="0"/>
    <x v="0"/>
    <n v="4000"/>
    <n v="4369"/>
    <d v="2024-06-29T00:00:00"/>
    <d v="2024-07-12T00:00:00"/>
    <d v="2024-07-24T00:00:00"/>
    <n v="13"/>
    <n v="12"/>
    <s v="BlueWave Telecom"/>
    <s v="Mona Farid"/>
    <n v="120000"/>
    <s v="Quality Assurance"/>
    <n v="250"/>
    <n v="369"/>
    <n v="9.2249999999999999E-2"/>
    <s v="N/A"/>
    <s v="Medium (8-20 days)"/>
    <s v="Mona Farid"/>
    <s v="Delayed by 12 days"/>
  </r>
  <r>
    <s v="TSK-0101"/>
    <s v="PRJ-005"/>
    <x v="4"/>
    <s v="Design network infrastructure"/>
    <x v="6"/>
    <x v="12"/>
    <x v="0"/>
    <x v="2"/>
    <n v="5000"/>
    <n v="4772"/>
    <m/>
    <m/>
    <m/>
    <m/>
    <n v="0"/>
    <s v="Horizon Manufacturing"/>
    <s v="Ahmed Nabil"/>
    <n v="50000"/>
    <s v="Quality Assurance"/>
    <n v="250"/>
    <n v="-228"/>
    <n v="-4.5600000000000002E-2"/>
    <s v="On Time"/>
    <s v="Short (&lt;=7 days)"/>
    <s v="Ahmed Nabil"/>
    <s v="On schedule"/>
  </r>
  <r>
    <s v="TSK-0090"/>
    <s v="PRJ-005"/>
    <x v="4"/>
    <s v="Optimize quality checklist"/>
    <x v="3"/>
    <x v="13"/>
    <x v="2"/>
    <x v="2"/>
    <n v="10000"/>
    <n v="7969"/>
    <d v="2024-02-19T00:00:00"/>
    <d v="2024-03-19T00:00:00"/>
    <d v="2024-03-17T00:00:00"/>
    <n v="29"/>
    <n v="-2"/>
    <s v="Horizon Manufacturing"/>
    <s v="Ahmed Nabil"/>
    <n v="50000"/>
    <s v="Operations"/>
    <n v="200"/>
    <n v="-2031"/>
    <n v="-0.2031"/>
    <s v="On Time"/>
    <s v="Long (&gt;20 days)"/>
    <s v="Ahmed Nabil"/>
    <s v="Early by 2 days"/>
  </r>
  <r>
    <s v="TSK-0299"/>
    <s v="PRJ-015"/>
    <x v="11"/>
    <s v="Configure supplier list"/>
    <x v="0"/>
    <x v="14"/>
    <x v="1"/>
    <x v="1"/>
    <n v="4000"/>
    <n v="1678"/>
    <d v="2024-08-04T00:00:00"/>
    <d v="2024-08-26T00:00:00"/>
    <m/>
    <n v="22"/>
    <n v="0"/>
    <s v="Internal"/>
    <s v="Nourhan Tarek"/>
    <n v="75000"/>
    <s v="Marketing"/>
    <n v="300"/>
    <n v="-2322"/>
    <n v="-0.58050000000000002"/>
    <s v="N/A"/>
    <s v="Long (&gt;20 days)"/>
    <s v="Nourhan Tarek"/>
    <s v="On schedule"/>
  </r>
  <r>
    <s v="TSK-0303"/>
    <s v="PRJ-015"/>
    <x v="11"/>
    <s v="Plan hardware setup"/>
    <x v="0"/>
    <x v="15"/>
    <x v="0"/>
    <x v="4"/>
    <n v="10000"/>
    <n v="0"/>
    <d v="2024-05-26T00:00:00"/>
    <d v="2024-06-16T00:00:00"/>
    <m/>
    <n v="21"/>
    <n v="0"/>
    <s v="Internal"/>
    <s v="Nourhan Tarek"/>
    <n v="75000"/>
    <s v="Procurement"/>
    <n v="250"/>
    <n v="-10000"/>
    <n v="-1"/>
    <s v="N/A"/>
    <s v="Long (&gt;20 days)"/>
    <s v="Nourhan Tarek"/>
    <s v="On schedule"/>
  </r>
  <r>
    <s v="TSK-0172"/>
    <s v="PRJ-009"/>
    <x v="12"/>
    <s v="Audit user interface"/>
    <x v="6"/>
    <x v="15"/>
    <x v="2"/>
    <x v="2"/>
    <n v="1500"/>
    <n v="1823"/>
    <m/>
    <m/>
    <m/>
    <m/>
    <n v="0"/>
    <s v="Suez Trading Co."/>
    <s v="Laila Samir"/>
    <n v="100000"/>
    <s v="Procurement"/>
    <n v="250"/>
    <n v="323"/>
    <n v="0.21533333333333332"/>
    <s v="On Time"/>
    <s v="Short (&lt;=7 days)"/>
    <s v="Laila Samir"/>
    <s v="On schedule"/>
  </r>
  <r>
    <s v="TSK-0150"/>
    <s v="PRJ-008"/>
    <x v="7"/>
    <s v="Develop training material"/>
    <x v="0"/>
    <x v="16"/>
    <x v="1"/>
    <x v="0"/>
    <n v="1000"/>
    <n v="1347"/>
    <d v="2024-07-20T00:00:00"/>
    <d v="2024-08-07T00:00:00"/>
    <d v="2024-08-12T00:00:00"/>
    <n v="18"/>
    <n v="5"/>
    <s v="Pharos Holdings"/>
    <s v="Nourhan Tarek"/>
    <n v="300000"/>
    <s v="Procurement"/>
    <n v="180"/>
    <n v="347"/>
    <n v="0.34699999999999998"/>
    <s v="N/A"/>
    <s v="Medium (8-20 days)"/>
    <s v="Nourhan Tarek"/>
    <s v="Delayed by 5 days"/>
  </r>
  <r>
    <s v="TSK-0149"/>
    <s v="PRJ-008"/>
    <x v="7"/>
    <s v="Test API integration"/>
    <x v="6"/>
    <x v="17"/>
    <x v="0"/>
    <x v="4"/>
    <n v="1000"/>
    <n v="0"/>
    <m/>
    <m/>
    <m/>
    <m/>
    <n v="0"/>
    <s v="Pharos Holdings"/>
    <s v="Nourhan Tarek"/>
    <n v="300000"/>
    <s v="Procurement"/>
    <n v="180"/>
    <n v="-1000"/>
    <n v="-1"/>
    <s v="N/A"/>
    <s v="Short (&lt;=7 days)"/>
    <s v="Nourhan Tarek"/>
    <s v="On schedule"/>
  </r>
  <r>
    <s v="TSK-0198"/>
    <s v="PRJ-010"/>
    <x v="5"/>
    <s v="Plan database schema"/>
    <x v="2"/>
    <x v="18"/>
    <x v="1"/>
    <x v="2"/>
    <n v="8000"/>
    <n v="5874"/>
    <d v="2024-05-30T00:00:00"/>
    <d v="2024-06-13T00:00:00"/>
    <d v="2024-06-13T00:00:00"/>
    <n v="14"/>
    <n v="0"/>
    <s v="Internal"/>
    <s v="Sara Hassan"/>
    <n v="150000"/>
    <m/>
    <m/>
    <n v="-2126"/>
    <n v="-0.26574999999999999"/>
    <s v="On Time"/>
    <s v="Medium (8-20 days)"/>
    <s v="Sara Hassan"/>
    <s v="On schedule"/>
  </r>
  <r>
    <s v="TSK-0119"/>
    <s v="PRJ-006"/>
    <x v="10"/>
    <s v="Document user interface"/>
    <x v="6"/>
    <x v="19"/>
    <x v="0"/>
    <x v="3"/>
    <n v="10000"/>
    <n v="12422"/>
    <m/>
    <m/>
    <m/>
    <m/>
    <n v="0"/>
    <s v="BlueWave Telecom"/>
    <s v="Mona Farid"/>
    <n v="120000"/>
    <s v="Finance"/>
    <n v="220"/>
    <n v="2422"/>
    <n v="0.2422"/>
    <s v="N/A"/>
    <s v="Short (&lt;=7 days)"/>
    <s v="Mona Farid"/>
    <s v="On schedule"/>
  </r>
  <r>
    <s v="TSK-0304"/>
    <s v="PRJ-015"/>
    <x v="11"/>
    <s v="Approve budget report"/>
    <x v="3"/>
    <x v="20"/>
    <x v="2"/>
    <x v="0"/>
    <n v="2000"/>
    <n v="2297"/>
    <d v="2024-08-02T00:00:00"/>
    <d v="2024-08-25T00:00:00"/>
    <d v="2024-08-26T00:00:00"/>
    <n v="23"/>
    <n v="1"/>
    <s v="Internal"/>
    <s v="Nourhan Tarek"/>
    <n v="75000"/>
    <s v="Finance"/>
    <n v="250"/>
    <n v="297"/>
    <n v="0.14849999999999999"/>
    <s v="N/A"/>
    <s v="Long (&gt;20 days)"/>
    <s v="Nourhan Tarek"/>
    <s v="Delayed by 1 days"/>
  </r>
  <r>
    <s v="TSK-0048"/>
    <s v="PRJ-003"/>
    <x v="2"/>
    <s v="Install vendor contract"/>
    <x v="2"/>
    <x v="4"/>
    <x v="0"/>
    <x v="2"/>
    <n v="1500"/>
    <n v="1286"/>
    <d v="2024-03-01T00:00:00"/>
    <d v="2024-03-21T00:00:00"/>
    <d v="2024-03-21T00:00:00"/>
    <n v="20"/>
    <n v="0"/>
    <s v="Alexandria Logistics"/>
    <s v="Ahmed Nabil"/>
    <n v="100000"/>
    <s v="Quality Assurance"/>
    <n v="200"/>
    <n v="-214"/>
    <n v="-0.14266666666666666"/>
    <s v="On Time"/>
    <s v="Medium (8-20 days)"/>
    <s v="Ahmed Nabil"/>
    <s v="On schedule"/>
  </r>
  <r>
    <s v="TSK-0051"/>
    <s v="PRJ-003"/>
    <x v="2"/>
    <s v="Approve onboarding process"/>
    <x v="7"/>
    <x v="21"/>
    <x v="1"/>
    <x v="2"/>
    <n v="5000"/>
    <n v="3653"/>
    <d v="2024-07-22T00:00:00"/>
    <d v="2024-08-06T00:00:00"/>
    <d v="2024-08-04T00:00:00"/>
    <n v="15"/>
    <n v="-2"/>
    <s v="Alexandria Logistics"/>
    <s v="Ahmed Nabil"/>
    <n v="100000"/>
    <s v="Procurement"/>
    <n v="200"/>
    <n v="-1347"/>
    <n v="-0.26939999999999997"/>
    <s v="On Time"/>
    <s v="Medium (8-20 days)"/>
    <s v="Ahmed Nabil"/>
    <s v="Early by 2 days"/>
  </r>
  <r>
    <s v="TSK-0068"/>
    <s v="PRJ-004"/>
    <x v="0"/>
    <s v="Review API integration"/>
    <x v="2"/>
    <x v="19"/>
    <x v="1"/>
    <x v="3"/>
    <n v="1000"/>
    <n v="1399"/>
    <d v="2024-10-17T00:00:00"/>
    <d v="2024-11-09T00:00:00"/>
    <d v="2024-11-06T00:00:00"/>
    <n v="23"/>
    <n v="-3"/>
    <s v="Cairo Financial Services"/>
    <s v="Laila Samir"/>
    <n v="75000"/>
    <s v="Finance"/>
    <n v="220"/>
    <n v="399"/>
    <n v="0.39900000000000002"/>
    <s v="N/A"/>
    <s v="Long (&gt;20 days)"/>
    <s v="Laila Samir"/>
    <s v="Early by 3 days"/>
  </r>
  <r>
    <s v="TSK-0307"/>
    <s v="PRJ-015"/>
    <x v="11"/>
    <s v="Deploy server configuration"/>
    <x v="2"/>
    <x v="2"/>
    <x v="1"/>
    <x v="1"/>
    <n v="2500"/>
    <n v="1606"/>
    <m/>
    <m/>
    <m/>
    <m/>
    <n v="0"/>
    <s v="Internal"/>
    <s v="Nourhan Tarek"/>
    <n v="75000"/>
    <s v="Marketing"/>
    <n v="280"/>
    <n v="-894"/>
    <n v="-0.35759999999999997"/>
    <s v="N/A"/>
    <s v="Short (&lt;=7 days)"/>
    <s v="Nourhan Tarek"/>
    <s v="On schedule"/>
  </r>
  <r>
    <s v="TSK-0017"/>
    <s v="PRJ-001"/>
    <x v="1"/>
    <s v="Procure customer feedback survey"/>
    <x v="7"/>
    <x v="6"/>
    <x v="0"/>
    <x v="0"/>
    <n v="1500"/>
    <n v="1676"/>
    <d v="2024-11-07T00:00:00"/>
    <d v="2024-11-18T00:00:00"/>
    <d v="2024-11-16T00:00:00"/>
    <n v="11"/>
    <n v="-2"/>
    <s v="Nile Corp"/>
    <s v="Mona Farid"/>
    <n v="75000"/>
    <s v="Finance"/>
    <n v="280"/>
    <n v="176"/>
    <n v="0.11733333333333333"/>
    <s v="N/A"/>
    <s v="Medium (8-20 days)"/>
    <s v="Mona Farid"/>
    <s v="Early by 2 days"/>
  </r>
  <r>
    <s v="TSK-0206"/>
    <s v="PRJ-010"/>
    <x v="5"/>
    <s v="Configure network infrastructure"/>
    <x v="2"/>
    <x v="20"/>
    <x v="1"/>
    <x v="6"/>
    <n v="1000"/>
    <n v="0"/>
    <d v="2024-08-09T00:00:00"/>
    <d v="2024-08-27T00:00:00"/>
    <m/>
    <n v="18"/>
    <n v="0"/>
    <s v="Internal"/>
    <s v="Sara Hassan"/>
    <n v="150000"/>
    <s v="Finance"/>
    <n v="250"/>
    <n v="-1000"/>
    <n v="-1"/>
    <s v="N/A"/>
    <s v="Medium (8-20 days)"/>
    <s v="Sara Hassan"/>
    <s v="On schedule"/>
  </r>
  <r>
    <s v="TSK-0117"/>
    <s v="PRJ-006"/>
    <x v="10"/>
    <s v="Migrate server configuration"/>
    <x v="3"/>
    <x v="9"/>
    <x v="1"/>
    <x v="6"/>
    <n v="5000"/>
    <n v="0"/>
    <d v="2024-05-16T00:00:00"/>
    <d v="2024-05-24T00:00:00"/>
    <m/>
    <n v="8"/>
    <n v="0"/>
    <s v="BlueWave Telecom"/>
    <s v="Mona Farid"/>
    <n v="120000"/>
    <s v="Procurement"/>
    <n v="150"/>
    <n v="-5000"/>
    <n v="-1"/>
    <s v="N/A"/>
    <s v="Medium (8-20 days)"/>
    <s v="Mona Farid"/>
    <s v="On schedule"/>
  </r>
  <r>
    <s v="TSK-0108"/>
    <s v="PRJ-006"/>
    <x v="10"/>
    <s v="Deploy hardware setup"/>
    <x v="1"/>
    <x v="0"/>
    <x v="0"/>
    <x v="0"/>
    <n v="3000"/>
    <n v="2512"/>
    <d v="2024-05-07T00:00:00"/>
    <d v="2024-06-06T00:00:00"/>
    <d v="2024-06-05T00:00:00"/>
    <n v="30"/>
    <n v="-1"/>
    <s v="BlueWave Telecom"/>
    <s v="Mona Farid"/>
    <n v="120000"/>
    <s v="HR"/>
    <n v="150"/>
    <n v="-488"/>
    <n v="-0.16266666666666665"/>
    <s v="N/A"/>
    <s v="Long (&gt;20 days)"/>
    <s v="Mona Farid"/>
    <s v="Early by 1 days"/>
  </r>
  <r>
    <s v="TSK-0196"/>
    <s v="PRJ-010"/>
    <x v="5"/>
    <s v="Review network infrastructure"/>
    <x v="1"/>
    <x v="10"/>
    <x v="0"/>
    <x v="1"/>
    <n v="3000"/>
    <n v="1021"/>
    <m/>
    <m/>
    <m/>
    <m/>
    <n v="0"/>
    <s v="Internal"/>
    <s v="Sara Hassan"/>
    <n v="150000"/>
    <s v="Operations"/>
    <n v="180"/>
    <n v="-1979"/>
    <n v="-0.65966666666666662"/>
    <s v="N/A"/>
    <s v="Short (&lt;=7 days)"/>
    <s v="Sara Hassan"/>
    <s v="On schedule"/>
  </r>
  <r>
    <s v="TSK-0305"/>
    <s v="PRJ-015"/>
    <x v="11"/>
    <s v="Plan training material"/>
    <x v="0"/>
    <x v="2"/>
    <x v="2"/>
    <x v="2"/>
    <n v="10000"/>
    <n v="10647"/>
    <d v="2024-06-14T00:00:00"/>
    <d v="2024-07-01T00:00:00"/>
    <d v="2024-06-30T00:00:00"/>
    <n v="17"/>
    <n v="-1"/>
    <s v="Internal"/>
    <s v="Nourhan Tarek"/>
    <n v="75000"/>
    <s v="Marketing"/>
    <n v="280"/>
    <n v="647"/>
    <n v="6.4699999999999994E-2"/>
    <s v="On Time"/>
    <s v="Medium (8-20 days)"/>
    <s v="Nourhan Tarek"/>
    <s v="Early by 1 days"/>
  </r>
  <r>
    <s v="TSK-0177"/>
    <s v="PRJ-009"/>
    <x v="12"/>
    <s v="Migrate employee handbook"/>
    <x v="5"/>
    <x v="20"/>
    <x v="2"/>
    <x v="1"/>
    <n v="2500"/>
    <n v="1242"/>
    <d v="2024-02-26T00:00:00"/>
    <d v="2024-03-13T00:00:00"/>
    <m/>
    <n v="16"/>
    <n v="0"/>
    <s v="Suez Trading Co."/>
    <s v="Laila Samir"/>
    <n v="100000"/>
    <s v="Finance"/>
    <n v="250"/>
    <n v="-1258"/>
    <n v="-0.50319999999999998"/>
    <s v="N/A"/>
    <s v="Medium (8-20 days)"/>
    <s v="Laila Samir"/>
    <s v="On schedule"/>
  </r>
  <r>
    <s v="TSK-0137"/>
    <s v="PRJ-007"/>
    <x v="13"/>
    <s v="Develop inventory system"/>
    <x v="2"/>
    <x v="2"/>
    <x v="2"/>
    <x v="2"/>
    <n v="1500"/>
    <n v="1674"/>
    <d v="2024-07-23T00:00:00"/>
    <d v="2024-08-01T00:00:00"/>
    <d v="2024-07-29T00:00:00"/>
    <n v="9"/>
    <n v="-3"/>
    <s v="Internal"/>
    <s v="Laila Samir"/>
    <n v="120000"/>
    <s v="Marketing"/>
    <n v="280"/>
    <n v="174"/>
    <n v="0.11600000000000001"/>
    <s v="On Time"/>
    <s v="Medium (8-20 days)"/>
    <s v="Laila Samir"/>
    <s v="Early by 3 days"/>
  </r>
  <r>
    <s v="TSK-0210"/>
    <s v="PRJ-011"/>
    <x v="8"/>
    <s v="Analyze marketing collateral"/>
    <x v="0"/>
    <x v="11"/>
    <x v="1"/>
    <x v="1"/>
    <n v="1000"/>
    <n v="359"/>
    <d v="2024-05-20T00:00:00"/>
    <d v="2024-06-06T00:00:00"/>
    <m/>
    <n v="17"/>
    <n v="0"/>
    <s v="Giza Health Systems"/>
    <s v="Ahmed Nabil"/>
    <n v="200000"/>
    <s v="Operations"/>
    <n v="200"/>
    <n v="-641"/>
    <n v="-0.64100000000000001"/>
    <s v="N/A"/>
    <s v="Medium (8-20 days)"/>
    <s v="Ahmed Nabil"/>
    <s v="On schedule"/>
  </r>
  <r>
    <s v="TSK-0181"/>
    <s v="PRJ-009"/>
    <x v="12"/>
    <s v="Deploy budget report"/>
    <x v="1"/>
    <x v="19"/>
    <x v="1"/>
    <x v="4"/>
    <n v="2000"/>
    <n v="0"/>
    <m/>
    <m/>
    <m/>
    <m/>
    <n v="0"/>
    <s v="Suez Trading Co."/>
    <s v="Laila Samir"/>
    <n v="100000"/>
    <s v="Finance"/>
    <n v="220"/>
    <n v="-2000"/>
    <n v="-1"/>
    <s v="N/A"/>
    <s v="Short (&lt;=7 days)"/>
    <s v="Laila Samir"/>
    <s v="On schedule"/>
  </r>
  <r>
    <s v="TSK-0176"/>
    <s v="PRJ-009"/>
    <x v="12"/>
    <s v="Design budget report"/>
    <x v="3"/>
    <x v="20"/>
    <x v="0"/>
    <x v="2"/>
    <n v="6000"/>
    <n v="8191"/>
    <d v="2024-03-13T00:00:00"/>
    <d v="2024-04-07T00:00:00"/>
    <d v="2024-04-06T00:00:00"/>
    <n v="25"/>
    <n v="-1"/>
    <s v="Suez Trading Co."/>
    <s v="Laila Samir"/>
    <n v="100000"/>
    <s v="Finance"/>
    <n v="250"/>
    <n v="2191"/>
    <n v="0.36516666666666664"/>
    <s v="On Time"/>
    <s v="Long (&gt;20 days)"/>
    <s v="Laila Samir"/>
    <s v="Early by 1 days"/>
  </r>
  <r>
    <s v="TSK-0189"/>
    <s v="PRJ-010"/>
    <x v="5"/>
    <s v="Plan quality checklist"/>
    <x v="7"/>
    <x v="14"/>
    <x v="2"/>
    <x v="5"/>
    <n v="8000"/>
    <n v="3329"/>
    <d v="2024-08-02T00:00:00"/>
    <d v="2024-08-19T00:00:00"/>
    <m/>
    <n v="17"/>
    <n v="0"/>
    <s v="Internal"/>
    <s v="Sara Hassan"/>
    <n v="150000"/>
    <s v="Marketing"/>
    <n v="300"/>
    <n v="-4671"/>
    <n v="-0.58387500000000003"/>
    <s v="N/A"/>
    <s v="Medium (8-20 days)"/>
    <s v="Sara Hassan"/>
    <s v="On schedule"/>
  </r>
  <r>
    <s v="TSK-0138"/>
    <s v="PRJ-007"/>
    <x v="13"/>
    <s v="Document hardware setup"/>
    <x v="1"/>
    <x v="9"/>
    <x v="1"/>
    <x v="1"/>
    <n v="10000"/>
    <n v="3913"/>
    <d v="2024-07-21T00:00:00"/>
    <d v="2024-08-19T00:00:00"/>
    <m/>
    <n v="29"/>
    <n v="0"/>
    <s v="Internal"/>
    <s v="Laila Samir"/>
    <n v="120000"/>
    <s v="Procurement"/>
    <n v="150"/>
    <n v="-6087"/>
    <n v="-0.60870000000000002"/>
    <s v="N/A"/>
    <s v="Long (&gt;20 days)"/>
    <s v="Laila Samir"/>
    <s v="On schedule"/>
  </r>
  <r>
    <s v="TSK-0061"/>
    <s v="PRJ-003"/>
    <x v="2"/>
    <s v="Approve quality checklist"/>
    <x v="6"/>
    <x v="6"/>
    <x v="0"/>
    <x v="7"/>
    <n v="8000"/>
    <n v="6292"/>
    <d v="2024-06-07T00:00:00"/>
    <d v="2024-06-10T00:00:00"/>
    <d v="2024-06-15T00:00:00"/>
    <n v="3"/>
    <n v="5"/>
    <s v="Alexandria Logistics"/>
    <s v="Ahmed Nabil"/>
    <n v="100000"/>
    <s v="Finance"/>
    <n v="280"/>
    <n v="-1708"/>
    <n v="-0.2135"/>
    <s v="N/A"/>
    <s v="Short (&lt;=7 days)"/>
    <s v="Ahmed Nabil"/>
    <s v="Delayed by 5 days"/>
  </r>
  <r>
    <s v="TSK-0067"/>
    <s v="PRJ-004"/>
    <x v="0"/>
    <s v="Optimize dashboard"/>
    <x v="7"/>
    <x v="21"/>
    <x v="1"/>
    <x v="4"/>
    <n v="1500"/>
    <n v="0"/>
    <d v="2024-10-07T00:00:00"/>
    <d v="2024-10-26T00:00:00"/>
    <m/>
    <n v="19"/>
    <n v="0"/>
    <s v="Cairo Financial Services"/>
    <s v="Laila Samir"/>
    <n v="75000"/>
    <s v="Procurement"/>
    <n v="200"/>
    <n v="-1500"/>
    <n v="-1"/>
    <s v="N/A"/>
    <s v="Medium (8-20 days)"/>
    <s v="Laila Samir"/>
    <s v="On schedule"/>
  </r>
  <r>
    <s v="TSK-0088"/>
    <s v="PRJ-005"/>
    <x v="4"/>
    <s v="Plan customer feedback survey"/>
    <x v="0"/>
    <x v="7"/>
    <x v="2"/>
    <x v="3"/>
    <n v="2000"/>
    <n v="2236"/>
    <m/>
    <m/>
    <m/>
    <m/>
    <n v="0"/>
    <s v="Horizon Manufacturing"/>
    <s v="Ahmed Nabil"/>
    <n v="50000"/>
    <s v="IT"/>
    <n v="220"/>
    <n v="236"/>
    <n v="0.11799999999999999"/>
    <s v="N/A"/>
    <s v="Short (&lt;=7 days)"/>
    <s v="Ahmed Nabil"/>
    <s v="On schedule"/>
  </r>
  <r>
    <s v="TSK-0037"/>
    <s v="PRJ-002"/>
    <x v="9"/>
    <s v="Audit inventory system"/>
    <x v="5"/>
    <x v="4"/>
    <x v="0"/>
    <x v="1"/>
    <n v="3000"/>
    <n v="2365"/>
    <m/>
    <m/>
    <m/>
    <m/>
    <n v="0"/>
    <s v="Delta Retail Group"/>
    <s v="Youssef Adel"/>
    <n v="150000"/>
    <s v="Quality Assurance"/>
    <n v="200"/>
    <n v="-635"/>
    <n v="-0.21166666666666667"/>
    <s v="N/A"/>
    <s v="Short (&lt;=7 days)"/>
    <s v="Youssef Adel"/>
    <s v="On schedule"/>
  </r>
  <r>
    <s v="TSK-0266"/>
    <s v="PRJ-013"/>
    <x v="14"/>
    <s v="Review employee handbook"/>
    <x v="1"/>
    <x v="22"/>
    <x v="1"/>
    <x v="3"/>
    <n v="5000"/>
    <n v="5016"/>
    <d v="2024-07-14T00:00:00"/>
    <d v="2024-07-29T00:00:00"/>
    <d v="2024-07-29T00:00:00"/>
    <n v="15"/>
    <n v="0"/>
    <s v="Internal"/>
    <s v="Nourhan Tarek"/>
    <n v="200000"/>
    <s v="IT"/>
    <n v="150"/>
    <n v="16"/>
    <n v="3.2000000000000002E-3"/>
    <s v="N/A"/>
    <s v="Medium (8-20 days)"/>
    <s v="Nourhan Tarek"/>
    <s v="On schedule"/>
  </r>
  <r>
    <s v="TSK-0070"/>
    <s v="PRJ-004"/>
    <x v="0"/>
    <s v="Procure vendor contract"/>
    <x v="6"/>
    <x v="2"/>
    <x v="2"/>
    <x v="7"/>
    <n v="5000"/>
    <n v="4686"/>
    <d v="2024-10-10T00:00:00"/>
    <d v="2024-10-27T00:00:00"/>
    <d v="2024-10-31T00:00:00"/>
    <n v="17"/>
    <n v="4"/>
    <s v="Cairo Financial Services"/>
    <s v="Laila Samir"/>
    <n v="75000"/>
    <s v="Marketing"/>
    <n v="280"/>
    <n v="-314"/>
    <n v="-6.2799999999999995E-2"/>
    <s v="N/A"/>
    <s v="Medium (8-20 days)"/>
    <s v="Laila Samir"/>
    <s v="Delayed by 4 days"/>
  </r>
  <r>
    <s v="TSK-0205"/>
    <s v="PRJ-010"/>
    <x v="5"/>
    <s v="Configure API integration"/>
    <x v="0"/>
    <x v="23"/>
    <x v="0"/>
    <x v="5"/>
    <n v="4000"/>
    <n v="3074"/>
    <m/>
    <m/>
    <m/>
    <m/>
    <n v="0"/>
    <s v="Internal"/>
    <s v="Sara Hassan"/>
    <n v="150000"/>
    <s v="HR"/>
    <n v="300"/>
    <n v="-926"/>
    <n v="-0.23150000000000001"/>
    <s v="N/A"/>
    <s v="Short (&lt;=7 days)"/>
    <s v="Sara Hassan"/>
    <s v="On schedule"/>
  </r>
  <r>
    <s v="TSK-0263"/>
    <s v="PRJ-013"/>
    <x v="14"/>
    <s v="Train users on employee handbook"/>
    <x v="2"/>
    <x v="5"/>
    <x v="1"/>
    <x v="2"/>
    <n v="5000"/>
    <n v="6706"/>
    <d v="2024-04-11T00:00:00"/>
    <d v="2024-05-05T00:00:00"/>
    <d v="2024-05-04T00:00:00"/>
    <n v="24"/>
    <n v="-1"/>
    <s v="Internal"/>
    <s v="Nourhan Tarek"/>
    <n v="200000"/>
    <s v="IT"/>
    <n v="180"/>
    <n v="1706"/>
    <n v="0.3412"/>
    <s v="On Time"/>
    <s v="Long (&gt;20 days)"/>
    <s v="Nourhan Tarek"/>
    <s v="Early by 1 days"/>
  </r>
  <r>
    <s v="TSK-0248"/>
    <s v="PRJ-012"/>
    <x v="6"/>
    <s v="Review onboarding process"/>
    <x v="1"/>
    <x v="21"/>
    <x v="0"/>
    <x v="3"/>
    <n v="1500"/>
    <n v="2080"/>
    <d v="2024-05-30T00:00:00"/>
    <d v="2024-06-16T00:00:00"/>
    <d v="2024-06-15T00:00:00"/>
    <n v="17"/>
    <n v="-1"/>
    <s v="Red Sea Tourism"/>
    <s v="Ahmed Nabil"/>
    <n v="250000"/>
    <s v="Procurement"/>
    <n v="200"/>
    <n v="580"/>
    <n v="0.38666666666666666"/>
    <s v="N/A"/>
    <s v="Medium (8-20 days)"/>
    <s v="Ahmed Nabil"/>
    <s v="Early by 1 days"/>
  </r>
  <r>
    <s v="TSK-0044"/>
    <s v="PRJ-003"/>
    <x v="2"/>
    <s v="Design marketing collateral"/>
    <x v="7"/>
    <x v="11"/>
    <x v="1"/>
    <x v="5"/>
    <n v="3000"/>
    <n v="647"/>
    <d v="2024-05-19T00:00:00"/>
    <d v="2024-06-10T00:00:00"/>
    <m/>
    <n v="22"/>
    <n v="0"/>
    <s v="Alexandria Logistics"/>
    <s v="Ahmed Nabil"/>
    <n v="100000"/>
    <s v="Operations"/>
    <n v="200"/>
    <n v="-2353"/>
    <n v="-0.78433333333333333"/>
    <s v="N/A"/>
    <s v="Long (&gt;20 days)"/>
    <s v="Ahmed Nabil"/>
    <s v="On schedule"/>
  </r>
  <r>
    <s v="TSK-0208"/>
    <s v="PRJ-011"/>
    <x v="8"/>
    <s v="Document warehouse layout"/>
    <x v="1"/>
    <x v="9"/>
    <x v="2"/>
    <x v="2"/>
    <n v="8000"/>
    <n v="9484"/>
    <d v="2024-05-16T00:00:00"/>
    <d v="2024-05-24T00:00:00"/>
    <d v="2024-05-26T00:00:00"/>
    <n v="8"/>
    <n v="2"/>
    <s v="Giza Health Systems"/>
    <s v="Ahmed Nabil"/>
    <n v="200000"/>
    <s v="Procurement"/>
    <n v="150"/>
    <n v="1484"/>
    <n v="0.1855"/>
    <s v="Late"/>
    <s v="Medium (8-20 days)"/>
    <s v="Ahmed Nabil"/>
    <s v="Delayed by 2 days"/>
  </r>
  <r>
    <s v="TSK-0277"/>
    <s v="PRJ-014"/>
    <x v="3"/>
    <s v="Train users on onboarding process"/>
    <x v="5"/>
    <x v="4"/>
    <x v="2"/>
    <x v="2"/>
    <n v="4000"/>
    <n v="4446"/>
    <d v="2024-04-17T00:00:00"/>
    <d v="2024-05-10T00:00:00"/>
    <d v="2024-05-10T00:00:00"/>
    <n v="23"/>
    <n v="0"/>
    <s v="Orbit Media"/>
    <s v="Ahmed Nabil"/>
    <n v="300000"/>
    <s v="Quality Assurance"/>
    <n v="200"/>
    <n v="446"/>
    <n v="0.1115"/>
    <s v="On Time"/>
    <s v="Long (&gt;20 days)"/>
    <s v="Ahmed Nabil"/>
    <s v="On schedule"/>
  </r>
  <r>
    <s v="TSK-0291"/>
    <s v="PRJ-014"/>
    <x v="3"/>
    <s v="Analyze quality checklist"/>
    <x v="0"/>
    <x v="4"/>
    <x v="2"/>
    <x v="1"/>
    <n v="8000"/>
    <n v="2966"/>
    <d v="2024-01-29T00:00:00"/>
    <d v="2024-02-03T00:00:00"/>
    <m/>
    <n v="5"/>
    <n v="0"/>
    <s v="Orbit Media"/>
    <s v="Ahmed Nabil"/>
    <n v="300000"/>
    <s v="Quality Assurance"/>
    <n v="200"/>
    <n v="-5034"/>
    <n v="-0.62924999999999998"/>
    <s v="N/A"/>
    <s v="Short (&lt;=7 days)"/>
    <s v="Ahmed Nabil"/>
    <s v="On schedule"/>
  </r>
  <r>
    <s v="TSK-0076"/>
    <s v="PRJ-004"/>
    <x v="0"/>
    <s v="Optimize server configuration"/>
    <x v="3"/>
    <x v="5"/>
    <x v="0"/>
    <x v="2"/>
    <n v="1500"/>
    <n v="1412"/>
    <d v="2024-08-16T00:00:00"/>
    <d v="2024-09-12T00:00:00"/>
    <d v="2024-09-13T00:00:00"/>
    <n v="27"/>
    <n v="1"/>
    <s v="Cairo Financial Services"/>
    <s v="Laila Samir"/>
    <n v="75000"/>
    <s v="IT"/>
    <n v="180"/>
    <n v="-88"/>
    <n v="-5.8666666666666666E-2"/>
    <s v="Late"/>
    <s v="Long (&gt;20 days)"/>
    <s v="Laila Samir"/>
    <s v="Delayed by 1 days"/>
  </r>
  <r>
    <s v="TSK-0284"/>
    <s v="PRJ-014"/>
    <x v="3"/>
    <s v="Document budget report"/>
    <x v="3"/>
    <x v="13"/>
    <x v="0"/>
    <x v="0"/>
    <n v="1500"/>
    <n v="1497"/>
    <d v="2024-06-10T00:00:00"/>
    <d v="2024-07-08T00:00:00"/>
    <d v="2024-07-23T00:00:00"/>
    <n v="28"/>
    <n v="15"/>
    <s v="Orbit Media"/>
    <s v="Ahmed Nabil"/>
    <n v="300000"/>
    <s v="Operations"/>
    <n v="200"/>
    <n v="-3"/>
    <n v="-2E-3"/>
    <s v="N/A"/>
    <s v="Long (&gt;20 days)"/>
    <s v="Ahmed Nabil"/>
    <s v="Delayed by 15 days"/>
  </r>
  <r>
    <s v="TSK-0297"/>
    <s v="PRJ-015"/>
    <x v="11"/>
    <s v="Deploy user interface"/>
    <x v="0"/>
    <x v="24"/>
    <x v="0"/>
    <x v="3"/>
    <n v="3000"/>
    <n v="2936"/>
    <d v="2024-05-22T00:00:00"/>
    <d v="2024-06-18T00:00:00"/>
    <d v="2024-06-19T00:00:00"/>
    <n v="27"/>
    <n v="1"/>
    <s v="Internal"/>
    <s v="Nourhan Tarek"/>
    <n v="75000"/>
    <s v="Quality Assurance"/>
    <n v="250"/>
    <n v="-64"/>
    <n v="-2.1333333333333333E-2"/>
    <s v="N/A"/>
    <s v="Long (&gt;20 days)"/>
    <s v="Nourhan Tarek"/>
    <s v="Delayed by 1 days"/>
  </r>
  <r>
    <s v="TSK-0259"/>
    <s v="PRJ-013"/>
    <x v="14"/>
    <s v="Plan server configuration"/>
    <x v="6"/>
    <x v="3"/>
    <x v="2"/>
    <x v="2"/>
    <n v="2000"/>
    <n v="2777"/>
    <m/>
    <m/>
    <m/>
    <m/>
    <n v="0"/>
    <s v="Internal"/>
    <s v="Nourhan Tarek"/>
    <n v="200000"/>
    <s v="IT"/>
    <n v="280"/>
    <n v="777"/>
    <n v="0.38850000000000001"/>
    <s v="On Time"/>
    <s v="Short (&lt;=7 days)"/>
    <s v="Nourhan Tarek"/>
    <s v="On schedule"/>
  </r>
  <r>
    <s v="TSK-0006"/>
    <s v="PRJ-001"/>
    <x v="1"/>
    <s v="Design onboarding process"/>
    <x v="7"/>
    <x v="8"/>
    <x v="1"/>
    <x v="0"/>
    <n v="5000"/>
    <n v="6659"/>
    <d v="2024-10-14T00:00:00"/>
    <d v="2024-11-01T00:00:00"/>
    <d v="2024-11-04T00:00:00"/>
    <n v="18"/>
    <n v="3"/>
    <s v="Nile Corp"/>
    <s v="Mona Farid"/>
    <n v="75000"/>
    <s v="Operations"/>
    <n v="180"/>
    <n v="1659"/>
    <n v="0.33179999999999998"/>
    <s v="N/A"/>
    <s v="Medium (8-20 days)"/>
    <s v="Mona Farid"/>
    <s v="Delayed by 3 days"/>
  </r>
  <r>
    <s v="TSK-0296"/>
    <s v="PRJ-015"/>
    <x v="11"/>
    <s v="Design employee handbook"/>
    <x v="0"/>
    <x v="3"/>
    <x v="2"/>
    <x v="1"/>
    <n v="1500"/>
    <n v="408"/>
    <d v="2024-05-15T00:00:00"/>
    <d v="2024-06-11T00:00:00"/>
    <m/>
    <n v="27"/>
    <n v="0"/>
    <s v="Internal"/>
    <s v="Nourhan Tarek"/>
    <n v="75000"/>
    <s v="IT"/>
    <n v="280"/>
    <n v="-1092"/>
    <n v="-0.72799999999999998"/>
    <s v="N/A"/>
    <s v="Long (&gt;20 days)"/>
    <s v="Nourhan Tarek"/>
    <s v="On schedule"/>
  </r>
  <r>
    <s v="TSK-0007"/>
    <s v="PRJ-001"/>
    <x v="1"/>
    <s v="Develop backup procedure"/>
    <x v="3"/>
    <x v="18"/>
    <x v="2"/>
    <x v="5"/>
    <n v="3000"/>
    <n v="992"/>
    <d v="2024-07-21T00:00:00"/>
    <d v="2024-07-30T00:00:00"/>
    <m/>
    <n v="9"/>
    <n v="0"/>
    <s v="Nile Corp"/>
    <s v="Mona Farid"/>
    <n v="75000"/>
    <m/>
    <m/>
    <n v="-2008"/>
    <n v="-0.66933333333333334"/>
    <s v="N/A"/>
    <s v="Medium (8-20 days)"/>
    <s v="Mona Farid"/>
    <s v="On schedule"/>
  </r>
  <r>
    <s v="TSK-0271"/>
    <s v="PRJ-014"/>
    <x v="3"/>
    <s v="Deploy warehouse layout"/>
    <x v="0"/>
    <x v="9"/>
    <x v="1"/>
    <x v="2"/>
    <n v="6000"/>
    <n v="6093"/>
    <d v="2024-01-29T00:00:00"/>
    <d v="2024-02-07T00:00:00"/>
    <d v="2024-02-06T00:00:00"/>
    <n v="9"/>
    <n v="-1"/>
    <s v="Orbit Media"/>
    <s v="Ahmed Nabil"/>
    <n v="300000"/>
    <s v="Procurement"/>
    <n v="150"/>
    <n v="93"/>
    <n v="1.55E-2"/>
    <s v="On Time"/>
    <s v="Medium (8-20 days)"/>
    <s v="Ahmed Nabil"/>
    <s v="Early by 1 days"/>
  </r>
  <r>
    <s v="TSK-0252"/>
    <s v="PRJ-013"/>
    <x v="14"/>
    <s v="Procure warehouse layout"/>
    <x v="5"/>
    <x v="1"/>
    <x v="0"/>
    <x v="2"/>
    <n v="1000"/>
    <n v="1071"/>
    <d v="2024-08-08T00:00:00"/>
    <d v="2024-08-15T00:00:00"/>
    <d v="2024-08-15T00:00:00"/>
    <n v="7"/>
    <n v="0"/>
    <s v="Internal"/>
    <s v="Nourhan Tarek"/>
    <n v="200000"/>
    <s v="IT"/>
    <n v="220"/>
    <n v="71"/>
    <n v="7.0999999999999994E-2"/>
    <s v="On Time"/>
    <s v="Short (&lt;=7 days)"/>
    <s v="Nourhan Tarek"/>
    <s v="On schedule"/>
  </r>
  <r>
    <s v="TSK-0222"/>
    <s v="PRJ-011"/>
    <x v="8"/>
    <s v="Test security policy"/>
    <x v="0"/>
    <x v="25"/>
    <x v="1"/>
    <x v="0"/>
    <n v="4000"/>
    <n v="3554"/>
    <d v="2024-05-11T00:00:00"/>
    <d v="2024-06-06T00:00:00"/>
    <d v="2024-06-17T00:00:00"/>
    <n v="26"/>
    <n v="11"/>
    <s v="Giza Health Systems"/>
    <s v="Ahmed Nabil"/>
    <n v="200000"/>
    <s v="Marketing"/>
    <n v="220"/>
    <n v="-446"/>
    <n v="-0.1115"/>
    <s v="N/A"/>
    <s v="Long (&gt;20 days)"/>
    <s v="Ahmed Nabil"/>
    <s v="Delayed by 11 days"/>
  </r>
  <r>
    <s v="TSK-0201"/>
    <s v="PRJ-010"/>
    <x v="5"/>
    <s v="Train users on dashboard"/>
    <x v="7"/>
    <x v="8"/>
    <x v="0"/>
    <x v="2"/>
    <n v="2000"/>
    <n v="1896"/>
    <d v="2024-07-03T00:00:00"/>
    <d v="2024-07-27T00:00:00"/>
    <d v="2024-07-27T00:00:00"/>
    <n v="24"/>
    <n v="0"/>
    <s v="Internal"/>
    <s v="Sara Hassan"/>
    <n v="150000"/>
    <s v="Operations"/>
    <n v="180"/>
    <n v="-104"/>
    <n v="-5.1999999999999998E-2"/>
    <s v="On Time"/>
    <s v="Long (&gt;20 days)"/>
    <s v="Sara Hassan"/>
    <s v="On schedule"/>
  </r>
  <r>
    <s v="TSK-0207"/>
    <s v="PRJ-010"/>
    <x v="5"/>
    <s v="Analyze onboarding process"/>
    <x v="6"/>
    <x v="6"/>
    <x v="2"/>
    <x v="4"/>
    <n v="8000"/>
    <n v="0"/>
    <d v="2024-04-25T00:00:00"/>
    <d v="2024-05-25T00:00:00"/>
    <m/>
    <n v="30"/>
    <n v="0"/>
    <s v="Internal"/>
    <s v="Sara Hassan"/>
    <n v="150000"/>
    <s v="Finance"/>
    <n v="280"/>
    <n v="-8000"/>
    <n v="-1"/>
    <s v="N/A"/>
    <s v="Long (&gt;20 days)"/>
    <s v="Sara Hassan"/>
    <s v="On schedule"/>
  </r>
  <r>
    <s v="TSK-0185"/>
    <s v="PRJ-009"/>
    <x v="12"/>
    <s v="Develop onboarding process"/>
    <x v="4"/>
    <x v="10"/>
    <x v="0"/>
    <x v="1"/>
    <n v="1500"/>
    <n v="312"/>
    <d v="2024-01-06T00:00:00"/>
    <d v="2024-01-27T00:00:00"/>
    <m/>
    <n v="21"/>
    <n v="0"/>
    <s v="Suez Trading Co."/>
    <s v="Laila Samir"/>
    <n v="100000"/>
    <s v="Operations"/>
    <n v="180"/>
    <n v="-1188"/>
    <n v="-0.79200000000000004"/>
    <s v="N/A"/>
    <s v="Long (&gt;20 days)"/>
    <s v="Laila Samir"/>
    <s v="On schedule"/>
  </r>
  <r>
    <s v="TSK-0045"/>
    <s v="PRJ-003"/>
    <x v="2"/>
    <s v="Procure backup procedure"/>
    <x v="1"/>
    <x v="14"/>
    <x v="0"/>
    <x v="2"/>
    <n v="6000"/>
    <n v="8270"/>
    <d v="2024-07-25T00:00:00"/>
    <d v="2024-08-10T00:00:00"/>
    <d v="2024-08-12T00:00:00"/>
    <n v="16"/>
    <n v="2"/>
    <s v="Alexandria Logistics"/>
    <s v="Ahmed Nabil"/>
    <n v="100000"/>
    <s v="Marketing"/>
    <n v="300"/>
    <n v="2270"/>
    <n v="0.37833333333333335"/>
    <s v="Late"/>
    <s v="Medium (8-20 days)"/>
    <s v="Ahmed Nabil"/>
    <s v="Delayed by 2 days"/>
  </r>
  <r>
    <s v="TSK-0218"/>
    <s v="PRJ-011"/>
    <x v="8"/>
    <s v="Train users on backup procedure"/>
    <x v="1"/>
    <x v="15"/>
    <x v="1"/>
    <x v="2"/>
    <n v="2500"/>
    <n v="3495"/>
    <m/>
    <m/>
    <m/>
    <m/>
    <n v="0"/>
    <s v="Giza Health Systems"/>
    <s v="Ahmed Nabil"/>
    <n v="200000"/>
    <s v="Procurement"/>
    <n v="250"/>
    <n v="995"/>
    <n v="0.39800000000000002"/>
    <s v="On Time"/>
    <s v="Short (&lt;=7 days)"/>
    <s v="Ahmed Nabil"/>
    <s v="On schedule"/>
  </r>
  <r>
    <s v="TSK-0190"/>
    <s v="PRJ-010"/>
    <x v="5"/>
    <s v="Plan user interface"/>
    <x v="7"/>
    <x v="19"/>
    <x v="1"/>
    <x v="5"/>
    <n v="1000"/>
    <n v="483"/>
    <m/>
    <m/>
    <m/>
    <m/>
    <n v="0"/>
    <s v="Internal"/>
    <s v="Sara Hassan"/>
    <n v="150000"/>
    <s v="Finance"/>
    <n v="220"/>
    <n v="-517"/>
    <n v="-0.51700000000000002"/>
    <s v="N/A"/>
    <s v="Short (&lt;=7 days)"/>
    <s v="Sara Hassan"/>
    <s v="On schedule"/>
  </r>
  <r>
    <s v="TSK-0295"/>
    <s v="PRJ-015"/>
    <x v="11"/>
    <s v="Optimize security policy"/>
    <x v="0"/>
    <x v="21"/>
    <x v="0"/>
    <x v="2"/>
    <n v="3000"/>
    <n v="2484"/>
    <m/>
    <m/>
    <m/>
    <m/>
    <n v="0"/>
    <s v="Internal"/>
    <s v="Nourhan Tarek"/>
    <n v="75000"/>
    <s v="Procurement"/>
    <n v="200"/>
    <n v="-516"/>
    <n v="-0.17199999999999999"/>
    <s v="On Time"/>
    <s v="Short (&lt;=7 days)"/>
    <s v="Nourhan Tarek"/>
    <s v="On schedule"/>
  </r>
  <r>
    <s v="TSK-0155"/>
    <s v="PRJ-008"/>
    <x v="7"/>
    <s v="Approve database schema"/>
    <x v="3"/>
    <x v="9"/>
    <x v="0"/>
    <x v="3"/>
    <n v="8000"/>
    <n v="6121"/>
    <d v="2024-03-03T00:00:00"/>
    <d v="2024-03-08T00:00:00"/>
    <d v="2024-03-07T00:00:00"/>
    <n v="5"/>
    <n v="-1"/>
    <s v="Pharos Holdings"/>
    <s v="Nourhan Tarek"/>
    <n v="300000"/>
    <s v="Procurement"/>
    <n v="150"/>
    <n v="-1879"/>
    <n v="-0.234875"/>
    <s v="N/A"/>
    <s v="Short (&lt;=7 days)"/>
    <s v="Nourhan Tarek"/>
    <s v="Early by 1 days"/>
  </r>
  <r>
    <s v="TSK-0109"/>
    <s v="PRJ-006"/>
    <x v="10"/>
    <s v="Develop warehouse layout"/>
    <x v="5"/>
    <x v="22"/>
    <x v="1"/>
    <x v="3"/>
    <n v="1000"/>
    <n v="1278"/>
    <d v="2024-05-21T00:00:00"/>
    <d v="2024-06-19T00:00:00"/>
    <d v="2024-06-20T00:00:00"/>
    <n v="29"/>
    <n v="1"/>
    <s v="BlueWave Telecom"/>
    <s v="Mona Farid"/>
    <n v="120000"/>
    <s v="IT"/>
    <n v="150"/>
    <n v="278"/>
    <n v="0.27800000000000002"/>
    <s v="N/A"/>
    <s v="Long (&gt;20 days)"/>
    <s v="Mona Farid"/>
    <s v="Delayed by 1 days"/>
  </r>
  <r>
    <s v="TSK-0281"/>
    <s v="PRJ-014"/>
    <x v="3"/>
    <s v="Plan backup procedure"/>
    <x v="7"/>
    <x v="26"/>
    <x v="1"/>
    <x v="0"/>
    <n v="2000"/>
    <n v="2272"/>
    <d v="2024-02-17T00:00:00"/>
    <d v="2024-03-16T00:00:00"/>
    <d v="2024-03-31T00:00:00"/>
    <n v="28"/>
    <n v="15"/>
    <s v="Orbit Media"/>
    <s v="Ahmed Nabil"/>
    <n v="300000"/>
    <s v="HR"/>
    <n v="180"/>
    <n v="272"/>
    <n v="0.13600000000000001"/>
    <s v="N/A"/>
    <s v="Long (&gt;20 days)"/>
    <s v="Ahmed Nabil"/>
    <s v="Delayed by 15 days"/>
  </r>
  <r>
    <s v="TSK-0144"/>
    <s v="PRJ-007"/>
    <x v="13"/>
    <s v="Approve warehouse layout"/>
    <x v="1"/>
    <x v="20"/>
    <x v="2"/>
    <x v="6"/>
    <n v="2500"/>
    <n v="0"/>
    <m/>
    <m/>
    <m/>
    <m/>
    <n v="0"/>
    <s v="Internal"/>
    <s v="Laila Samir"/>
    <n v="120000"/>
    <s v="Finance"/>
    <n v="250"/>
    <n v="-2500"/>
    <n v="-1"/>
    <s v="N/A"/>
    <s v="Short (&lt;=7 days)"/>
    <s v="Laila Samir"/>
    <s v="On schedule"/>
  </r>
  <r>
    <s v="TSK-0077"/>
    <s v="PRJ-004"/>
    <x v="0"/>
    <s v="Optimize supplier list"/>
    <x v="3"/>
    <x v="5"/>
    <x v="1"/>
    <x v="4"/>
    <n v="4000"/>
    <n v="0"/>
    <d v="2024-08-26T00:00:00"/>
    <d v="2024-09-07T00:00:00"/>
    <m/>
    <n v="12"/>
    <n v="0"/>
    <s v="Cairo Financial Services"/>
    <s v="Laila Samir"/>
    <n v="75000"/>
    <s v="IT"/>
    <n v="180"/>
    <n v="-4000"/>
    <n v="-1"/>
    <s v="N/A"/>
    <s v="Medium (8-20 days)"/>
    <s v="Laila Samir"/>
    <s v="On schedule"/>
  </r>
  <r>
    <s v="TSK-0124"/>
    <s v="PRJ-006"/>
    <x v="10"/>
    <s v="Develop vendor contract"/>
    <x v="7"/>
    <x v="11"/>
    <x v="2"/>
    <x v="6"/>
    <n v="8000"/>
    <n v="0"/>
    <m/>
    <m/>
    <m/>
    <m/>
    <n v="0"/>
    <s v="BlueWave Telecom"/>
    <s v="Mona Farid"/>
    <n v="120000"/>
    <s v="Operations"/>
    <n v="200"/>
    <n v="-8000"/>
    <n v="-1"/>
    <s v="N/A"/>
    <s v="Short (&lt;=7 days)"/>
    <s v="Mona Farid"/>
    <s v="On schedule"/>
  </r>
  <r>
    <s v="TSK-0285"/>
    <s v="PRJ-014"/>
    <x v="3"/>
    <s v="Procure quality checklist"/>
    <x v="3"/>
    <x v="17"/>
    <x v="2"/>
    <x v="1"/>
    <n v="5000"/>
    <n v="2964"/>
    <d v="2024-05-24T00:00:00"/>
    <d v="2024-05-27T00:00:00"/>
    <m/>
    <n v="3"/>
    <n v="0"/>
    <s v="Orbit Media"/>
    <s v="Ahmed Nabil"/>
    <n v="300000"/>
    <s v="Procurement"/>
    <n v="180"/>
    <n v="-2036"/>
    <n v="-0.40720000000000001"/>
    <s v="N/A"/>
    <s v="Short (&lt;=7 days)"/>
    <s v="Ahmed Nabil"/>
    <s v="On schedule"/>
  </r>
  <r>
    <s v="TSK-0063"/>
    <s v="PRJ-003"/>
    <x v="2"/>
    <s v="Deploy supplier list"/>
    <x v="3"/>
    <x v="18"/>
    <x v="1"/>
    <x v="6"/>
    <n v="8000"/>
    <n v="0"/>
    <d v="2024-06-22T00:00:00"/>
    <d v="2024-07-06T00:00:00"/>
    <m/>
    <n v="14"/>
    <n v="0"/>
    <s v="Alexandria Logistics"/>
    <s v="Ahmed Nabil"/>
    <n v="100000"/>
    <m/>
    <m/>
    <n v="-8000"/>
    <n v="-1"/>
    <s v="N/A"/>
    <s v="Medium (8-20 days)"/>
    <s v="Ahmed Nabil"/>
    <s v="On schedule"/>
  </r>
  <r>
    <s v="TSK-0023"/>
    <s v="PRJ-002"/>
    <x v="9"/>
    <s v="Install training material"/>
    <x v="2"/>
    <x v="25"/>
    <x v="2"/>
    <x v="4"/>
    <n v="8000"/>
    <n v="0"/>
    <d v="2024-10-29T00:00:00"/>
    <d v="2024-11-20T00:00:00"/>
    <m/>
    <n v="22"/>
    <n v="0"/>
    <s v="Delta Retail Group"/>
    <s v="Youssef Adel"/>
    <n v="150000"/>
    <s v="Marketing"/>
    <n v="220"/>
    <n v="-8000"/>
    <n v="-1"/>
    <s v="N/A"/>
    <s v="Long (&gt;20 days)"/>
    <s v="Youssef Adel"/>
    <s v="On schedule"/>
  </r>
  <r>
    <s v="TSK-0253"/>
    <s v="PRJ-013"/>
    <x v="14"/>
    <s v="Train users on onboarding process"/>
    <x v="1"/>
    <x v="9"/>
    <x v="1"/>
    <x v="1"/>
    <n v="5000"/>
    <n v="2256"/>
    <m/>
    <m/>
    <m/>
    <m/>
    <n v="0"/>
    <s v="Internal"/>
    <s v="Nourhan Tarek"/>
    <n v="200000"/>
    <s v="Procurement"/>
    <n v="150"/>
    <n v="-2744"/>
    <n v="-0.54879999999999995"/>
    <s v="N/A"/>
    <s v="Short (&lt;=7 days)"/>
    <s v="Nourhan Tarek"/>
    <s v="On schedule"/>
  </r>
  <r>
    <s v="TSK-0042"/>
    <s v="PRJ-003"/>
    <x v="2"/>
    <s v="Configure supplier list"/>
    <x v="0"/>
    <x v="12"/>
    <x v="2"/>
    <x v="1"/>
    <n v="2500"/>
    <n v="1886"/>
    <d v="2024-03-16T00:00:00"/>
    <d v="2024-04-09T00:00:00"/>
    <m/>
    <n v="24"/>
    <n v="0"/>
    <s v="Alexandria Logistics"/>
    <s v="Ahmed Nabil"/>
    <n v="100000"/>
    <s v="Quality Assurance"/>
    <n v="250"/>
    <n v="-614"/>
    <n v="-0.24560000000000001"/>
    <s v="N/A"/>
    <s v="Long (&gt;20 days)"/>
    <s v="Ahmed Nabil"/>
    <s v="On schedule"/>
  </r>
  <r>
    <s v="TSK-0261"/>
    <s v="PRJ-013"/>
    <x v="14"/>
    <s v="Test server configuration"/>
    <x v="7"/>
    <x v="8"/>
    <x v="2"/>
    <x v="3"/>
    <n v="4000"/>
    <n v="4271"/>
    <d v="2024-04-19T00:00:00"/>
    <d v="2024-05-17T00:00:00"/>
    <d v="2024-05-19T00:00:00"/>
    <n v="28"/>
    <n v="2"/>
    <s v="Internal"/>
    <s v="Nourhan Tarek"/>
    <n v="200000"/>
    <s v="Operations"/>
    <n v="180"/>
    <n v="271"/>
    <n v="6.7750000000000005E-2"/>
    <s v="N/A"/>
    <s v="Long (&gt;20 days)"/>
    <s v="Nourhan Tarek"/>
    <s v="Delayed by 2 days"/>
  </r>
  <r>
    <s v="TSK-0229"/>
    <s v="PRJ-011"/>
    <x v="8"/>
    <s v="Optimize hardware setup"/>
    <x v="5"/>
    <x v="21"/>
    <x v="1"/>
    <x v="5"/>
    <n v="4000"/>
    <n v="2434"/>
    <d v="2024-06-07T00:00:00"/>
    <d v="2024-07-01T00:00:00"/>
    <m/>
    <n v="24"/>
    <n v="0"/>
    <s v="Giza Health Systems"/>
    <s v="Ahmed Nabil"/>
    <n v="200000"/>
    <s v="Procurement"/>
    <n v="200"/>
    <n v="-1566"/>
    <n v="-0.39150000000000001"/>
    <s v="N/A"/>
    <s v="Long (&gt;20 days)"/>
    <s v="Ahmed Nabil"/>
    <s v="On schedule"/>
  </r>
  <r>
    <s v="TSK-0132"/>
    <s v="PRJ-007"/>
    <x v="13"/>
    <s v="Deploy training material"/>
    <x v="3"/>
    <x v="23"/>
    <x v="1"/>
    <x v="6"/>
    <n v="2500"/>
    <n v="0"/>
    <d v="2024-10-10T00:00:00"/>
    <d v="2024-10-29T00:00:00"/>
    <m/>
    <n v="19"/>
    <n v="0"/>
    <s v="Internal"/>
    <s v="Laila Samir"/>
    <n v="120000"/>
    <s v="HR"/>
    <n v="300"/>
    <n v="-2500"/>
    <n v="-1"/>
    <s v="N/A"/>
    <s v="Medium (8-20 days)"/>
    <s v="Laila Samir"/>
    <s v="On schedule"/>
  </r>
  <r>
    <s v="TSK-0270"/>
    <s v="PRJ-013"/>
    <x v="14"/>
    <s v="Train users on vendor contract"/>
    <x v="0"/>
    <x v="16"/>
    <x v="1"/>
    <x v="6"/>
    <n v="3000"/>
    <n v="0"/>
    <d v="2024-08-19T00:00:00"/>
    <d v="2024-08-24T00:00:00"/>
    <m/>
    <n v="5"/>
    <n v="0"/>
    <s v="Internal"/>
    <s v="Nourhan Tarek"/>
    <n v="200000"/>
    <s v="Procurement"/>
    <n v="180"/>
    <n v="-3000"/>
    <n v="-1"/>
    <s v="N/A"/>
    <s v="Short (&lt;=7 days)"/>
    <s v="Nourhan Tarek"/>
    <s v="On schedule"/>
  </r>
  <r>
    <s v="TSK-0112"/>
    <s v="PRJ-006"/>
    <x v="10"/>
    <s v="Procure inventory system"/>
    <x v="4"/>
    <x v="19"/>
    <x v="1"/>
    <x v="4"/>
    <n v="3000"/>
    <n v="0"/>
    <d v="2024-03-20T00:00:00"/>
    <d v="2024-03-24T00:00:00"/>
    <m/>
    <n v="4"/>
    <n v="0"/>
    <s v="BlueWave Telecom"/>
    <s v="Mona Farid"/>
    <n v="120000"/>
    <s v="Finance"/>
    <n v="220"/>
    <n v="-3000"/>
    <n v="-1"/>
    <s v="N/A"/>
    <s v="Short (&lt;=7 days)"/>
    <s v="Mona Farid"/>
    <s v="On schedule"/>
  </r>
  <r>
    <s v="TSK-0237"/>
    <s v="PRJ-012"/>
    <x v="6"/>
    <s v="Plan vendor contract"/>
    <x v="6"/>
    <x v="22"/>
    <x v="1"/>
    <x v="1"/>
    <n v="2000"/>
    <n v="653"/>
    <d v="2024-03-21T00:00:00"/>
    <d v="2024-04-16T00:00:00"/>
    <m/>
    <n v="26"/>
    <n v="0"/>
    <s v="Red Sea Tourism"/>
    <s v="Ahmed Nabil"/>
    <n v="250000"/>
    <s v="IT"/>
    <n v="150"/>
    <n v="-1347"/>
    <n v="-0.67349999999999999"/>
    <s v="N/A"/>
    <s v="Long (&gt;20 days)"/>
    <s v="Ahmed Nabil"/>
    <s v="On schedule"/>
  </r>
  <r>
    <s v="TSK-0127"/>
    <s v="PRJ-007"/>
    <x v="13"/>
    <s v="Migrate training material"/>
    <x v="0"/>
    <x v="18"/>
    <x v="2"/>
    <x v="3"/>
    <n v="6000"/>
    <n v="5346"/>
    <d v="2024-06-26T00:00:00"/>
    <d v="2024-07-26T00:00:00"/>
    <d v="2024-07-27T00:00:00"/>
    <n v="30"/>
    <n v="1"/>
    <s v="Internal"/>
    <s v="Laila Samir"/>
    <n v="120000"/>
    <m/>
    <m/>
    <n v="-654"/>
    <n v="-0.109"/>
    <s v="N/A"/>
    <s v="Long (&gt;20 days)"/>
    <s v="Laila Samir"/>
    <s v="Delayed by 1 days"/>
  </r>
  <r>
    <s v="TSK-0257"/>
    <s v="PRJ-013"/>
    <x v="14"/>
    <s v="Document employee handbook"/>
    <x v="6"/>
    <x v="21"/>
    <x v="1"/>
    <x v="5"/>
    <n v="10000"/>
    <n v="7208"/>
    <d v="2024-07-25T00:00:00"/>
    <d v="2024-07-31T00:00:00"/>
    <m/>
    <n v="6"/>
    <n v="0"/>
    <s v="Internal"/>
    <s v="Nourhan Tarek"/>
    <n v="200000"/>
    <s v="Procurement"/>
    <n v="200"/>
    <n v="-2792"/>
    <n v="-0.2792"/>
    <s v="N/A"/>
    <s v="Short (&lt;=7 days)"/>
    <s v="Nourhan Tarek"/>
    <s v="On schedule"/>
  </r>
  <r>
    <s v="TSK-0030"/>
    <s v="PRJ-002"/>
    <x v="9"/>
    <s v="Plan hardware setup"/>
    <x v="5"/>
    <x v="17"/>
    <x v="0"/>
    <x v="2"/>
    <n v="10000"/>
    <n v="13746"/>
    <d v="2024-10-10T00:00:00"/>
    <d v="2024-10-18T00:00:00"/>
    <d v="2024-10-19T00:00:00"/>
    <n v="8"/>
    <n v="1"/>
    <s v="Delta Retail Group"/>
    <s v="Youssef Adel"/>
    <n v="150000"/>
    <s v="Procurement"/>
    <n v="180"/>
    <n v="3746"/>
    <n v="0.37459999999999999"/>
    <s v="Late"/>
    <s v="Medium (8-20 days)"/>
    <s v="Youssef Adel"/>
    <s v="Delayed by 1 days"/>
  </r>
  <r>
    <s v="TSK-0032"/>
    <s v="PRJ-002"/>
    <x v="9"/>
    <s v="Train users on customer feedback survey"/>
    <x v="2"/>
    <x v="25"/>
    <x v="0"/>
    <x v="2"/>
    <n v="6000"/>
    <n v="7171"/>
    <m/>
    <m/>
    <m/>
    <m/>
    <n v="0"/>
    <s v="Delta Retail Group"/>
    <s v="Youssef Adel"/>
    <n v="150000"/>
    <s v="Marketing"/>
    <n v="220"/>
    <n v="1171"/>
    <n v="0.19516666666666665"/>
    <s v="On Time"/>
    <s v="Short (&lt;=7 days)"/>
    <s v="Youssef Adel"/>
    <s v="On schedule"/>
  </r>
  <r>
    <s v="TSK-0075"/>
    <s v="PRJ-004"/>
    <x v="0"/>
    <s v="Plan customer feedback survey"/>
    <x v="3"/>
    <x v="1"/>
    <x v="0"/>
    <x v="2"/>
    <n v="10000"/>
    <n v="7595"/>
    <m/>
    <m/>
    <m/>
    <m/>
    <n v="0"/>
    <s v="Cairo Financial Services"/>
    <s v="Laila Samir"/>
    <n v="75000"/>
    <s v="IT"/>
    <n v="220"/>
    <n v="-2405"/>
    <n v="-0.24049999999999999"/>
    <s v="On Time"/>
    <s v="Short (&lt;=7 days)"/>
    <s v="Laila Samir"/>
    <s v="On schedule"/>
  </r>
  <r>
    <s v="TSK-0159"/>
    <s v="PRJ-008"/>
    <x v="7"/>
    <s v="Design dashboard"/>
    <x v="7"/>
    <x v="0"/>
    <x v="0"/>
    <x v="1"/>
    <n v="2500"/>
    <n v="1388"/>
    <m/>
    <m/>
    <m/>
    <m/>
    <n v="0"/>
    <s v="Pharos Holdings"/>
    <s v="Nourhan Tarek"/>
    <n v="300000"/>
    <s v="HR"/>
    <n v="150"/>
    <n v="-1112"/>
    <n v="-0.44479999999999997"/>
    <s v="N/A"/>
    <s v="Short (&lt;=7 days)"/>
    <s v="Nourhan Tarek"/>
    <s v="On schedule"/>
  </r>
  <r>
    <s v="TSK-0235"/>
    <s v="PRJ-012"/>
    <x v="6"/>
    <s v="Document quality checklist"/>
    <x v="2"/>
    <x v="15"/>
    <x v="1"/>
    <x v="1"/>
    <n v="1000"/>
    <n v="606"/>
    <m/>
    <m/>
    <m/>
    <m/>
    <n v="0"/>
    <s v="Red Sea Tourism"/>
    <s v="Ahmed Nabil"/>
    <n v="250000"/>
    <s v="Procurement"/>
    <n v="250"/>
    <n v="-394"/>
    <n v="-0.39400000000000002"/>
    <s v="N/A"/>
    <s v="Short (&lt;=7 days)"/>
    <s v="Ahmed Nabil"/>
    <s v="On schedule"/>
  </r>
  <r>
    <s v="TSK-0238"/>
    <s v="PRJ-012"/>
    <x v="6"/>
    <s v="Install onboarding process"/>
    <x v="2"/>
    <x v="5"/>
    <x v="2"/>
    <x v="0"/>
    <n v="1000"/>
    <n v="734"/>
    <d v="2024-02-05T00:00:00"/>
    <d v="2024-02-29T00:00:00"/>
    <d v="2024-02-29T00:00:00"/>
    <n v="24"/>
    <n v="0"/>
    <s v="Red Sea Tourism"/>
    <s v="Ahmed Nabil"/>
    <n v="250000"/>
    <s v="IT"/>
    <n v="180"/>
    <n v="-266"/>
    <n v="-0.26600000000000001"/>
    <s v="N/A"/>
    <s v="Long (&gt;20 days)"/>
    <s v="Ahmed Nabil"/>
    <s v="On schedule"/>
  </r>
  <r>
    <s v="TSK-0145"/>
    <s v="PRJ-008"/>
    <x v="7"/>
    <s v="Develop budget report"/>
    <x v="0"/>
    <x v="0"/>
    <x v="0"/>
    <x v="0"/>
    <n v="8000"/>
    <n v="8335"/>
    <d v="2024-05-26T00:00:00"/>
    <d v="2024-06-03T00:00:00"/>
    <d v="2024-06-04T00:00:00"/>
    <n v="8"/>
    <n v="1"/>
    <s v="Pharos Holdings"/>
    <s v="Nourhan Tarek"/>
    <n v="300000"/>
    <s v="HR"/>
    <n v="150"/>
    <n v="335"/>
    <n v="4.1875000000000002E-2"/>
    <s v="N/A"/>
    <s v="Medium (8-20 days)"/>
    <s v="Nourhan Tarek"/>
    <s v="Delayed by 1 days"/>
  </r>
  <r>
    <s v="TSK-0171"/>
    <s v="PRJ-009"/>
    <x v="12"/>
    <s v="Review warehouse layout"/>
    <x v="1"/>
    <x v="23"/>
    <x v="2"/>
    <x v="4"/>
    <n v="6000"/>
    <n v="0"/>
    <d v="2024-02-14T00:00:00"/>
    <d v="2024-03-12T00:00:00"/>
    <m/>
    <n v="27"/>
    <n v="0"/>
    <s v="Suez Trading Co."/>
    <s v="Laila Samir"/>
    <n v="100000"/>
    <s v="HR"/>
    <n v="300"/>
    <n v="-6000"/>
    <n v="-1"/>
    <s v="N/A"/>
    <s v="Long (&gt;20 days)"/>
    <s v="Laila Samir"/>
    <s v="On schedule"/>
  </r>
  <r>
    <s v="TSK-0059"/>
    <s v="PRJ-003"/>
    <x v="2"/>
    <s v="Test hardware setup"/>
    <x v="5"/>
    <x v="21"/>
    <x v="2"/>
    <x v="2"/>
    <n v="1000"/>
    <n v="1106"/>
    <m/>
    <m/>
    <m/>
    <m/>
    <n v="0"/>
    <s v="Alexandria Logistics"/>
    <s v="Ahmed Nabil"/>
    <n v="100000"/>
    <s v="Procurement"/>
    <n v="200"/>
    <n v="106"/>
    <n v="0.106"/>
    <s v="On Time"/>
    <s v="Short (&lt;=7 days)"/>
    <s v="Ahmed Nabil"/>
    <s v="On schedule"/>
  </r>
  <r>
    <s v="TSK-0131"/>
    <s v="PRJ-007"/>
    <x v="13"/>
    <s v="Document customer feedback survey"/>
    <x v="1"/>
    <x v="4"/>
    <x v="0"/>
    <x v="5"/>
    <n v="8000"/>
    <n v="5450"/>
    <m/>
    <m/>
    <m/>
    <m/>
    <n v="0"/>
    <s v="Internal"/>
    <s v="Laila Samir"/>
    <n v="120000"/>
    <s v="Quality Assurance"/>
    <n v="200"/>
    <n v="-2550"/>
    <n v="-0.31874999999999998"/>
    <s v="N/A"/>
    <s v="Short (&lt;=7 days)"/>
    <s v="Laila Samir"/>
    <s v="On schedule"/>
  </r>
  <r>
    <s v="TSK-0236"/>
    <s v="PRJ-012"/>
    <x v="6"/>
    <s v="Deploy backup procedure"/>
    <x v="7"/>
    <x v="20"/>
    <x v="3"/>
    <x v="1"/>
    <n v="8000"/>
    <n v="4463"/>
    <d v="2024-05-19T00:00:00"/>
    <d v="2024-06-14T00:00:00"/>
    <m/>
    <n v="26"/>
    <n v="0"/>
    <s v="Red Sea Tourism"/>
    <s v="Ahmed Nabil"/>
    <n v="250000"/>
    <s v="Finance"/>
    <n v="250"/>
    <n v="-3537"/>
    <n v="-0.44212499999999999"/>
    <s v="N/A"/>
    <s v="Long (&gt;20 days)"/>
    <s v="Ahmed Nabil"/>
    <s v="On schedule"/>
  </r>
  <r>
    <s v="TSK-0186"/>
    <s v="PRJ-009"/>
    <x v="12"/>
    <s v="Migrate onboarding process"/>
    <x v="7"/>
    <x v="10"/>
    <x v="1"/>
    <x v="1"/>
    <n v="3000"/>
    <n v="742"/>
    <m/>
    <m/>
    <m/>
    <m/>
    <n v="0"/>
    <s v="Suez Trading Co."/>
    <s v="Laila Samir"/>
    <n v="100000"/>
    <s v="Operations"/>
    <n v="180"/>
    <n v="-2258"/>
    <n v="-0.75266666666666671"/>
    <s v="N/A"/>
    <s v="Short (&lt;=7 days)"/>
    <s v="Laila Samir"/>
    <s v="On schedule"/>
  </r>
  <r>
    <s v="TSK-0113"/>
    <s v="PRJ-006"/>
    <x v="10"/>
    <s v="Test onboarding process"/>
    <x v="6"/>
    <x v="14"/>
    <x v="1"/>
    <x v="0"/>
    <n v="6000"/>
    <n v="7892"/>
    <d v="2024-07-01T00:00:00"/>
    <d v="2024-07-20T00:00:00"/>
    <d v="2024-07-31T00:00:00"/>
    <n v="19"/>
    <n v="11"/>
    <s v="BlueWave Telecom"/>
    <s v="Mona Farid"/>
    <n v="120000"/>
    <s v="Marketing"/>
    <n v="300"/>
    <n v="1892"/>
    <n v="0.31533333333333335"/>
    <s v="N/A"/>
    <s v="Medium (8-20 days)"/>
    <s v="Mona Farid"/>
    <s v="Delayed by 11 days"/>
  </r>
  <r>
    <s v="TSK-0074"/>
    <s v="PRJ-004"/>
    <x v="0"/>
    <s v="Deploy database schema"/>
    <x v="0"/>
    <x v="19"/>
    <x v="0"/>
    <x v="1"/>
    <n v="2000"/>
    <n v="1080"/>
    <d v="2024-06-23T00:00:00"/>
    <d v="2024-07-01T00:00:00"/>
    <m/>
    <n v="8"/>
    <n v="0"/>
    <s v="Cairo Financial Services"/>
    <s v="Laila Samir"/>
    <n v="75000"/>
    <s v="Finance"/>
    <n v="220"/>
    <n v="-920"/>
    <n v="-0.46"/>
    <s v="N/A"/>
    <s v="Medium (8-20 days)"/>
    <s v="Laila Samir"/>
    <s v="On schedule"/>
  </r>
  <r>
    <s v="TSK-0072"/>
    <s v="PRJ-004"/>
    <x v="0"/>
    <s v="Configure network infrastructure"/>
    <x v="5"/>
    <x v="23"/>
    <x v="2"/>
    <x v="1"/>
    <n v="3000"/>
    <n v="1233"/>
    <d v="2024-09-03T00:00:00"/>
    <d v="2024-09-25T00:00:00"/>
    <m/>
    <n v="22"/>
    <n v="0"/>
    <s v="Cairo Financial Services"/>
    <s v="Laila Samir"/>
    <n v="75000"/>
    <s v="HR"/>
    <n v="300"/>
    <n v="-1767"/>
    <n v="-0.58899999999999997"/>
    <s v="N/A"/>
    <s v="Long (&gt;20 days)"/>
    <s v="Laila Samir"/>
    <s v="On schedule"/>
  </r>
  <r>
    <s v="TSK-0139"/>
    <s v="PRJ-007"/>
    <x v="13"/>
    <s v="Migrate supplier list"/>
    <x v="7"/>
    <x v="6"/>
    <x v="1"/>
    <x v="1"/>
    <n v="6000"/>
    <n v="1369"/>
    <d v="2024-09-09T00:00:00"/>
    <d v="2024-09-29T00:00:00"/>
    <m/>
    <n v="20"/>
    <n v="0"/>
    <s v="Internal"/>
    <s v="Laila Samir"/>
    <n v="120000"/>
    <s v="Finance"/>
    <n v="280"/>
    <n v="-4631"/>
    <n v="-0.77183333333333337"/>
    <s v="N/A"/>
    <s v="Medium (8-20 days)"/>
    <s v="Laila Samir"/>
    <s v="On schedule"/>
  </r>
  <r>
    <s v="TSK-0071"/>
    <s v="PRJ-004"/>
    <x v="0"/>
    <s v="Develop warehouse layout"/>
    <x v="0"/>
    <x v="6"/>
    <x v="1"/>
    <x v="0"/>
    <n v="1500"/>
    <n v="1832"/>
    <m/>
    <m/>
    <m/>
    <m/>
    <n v="0"/>
    <s v="Cairo Financial Services"/>
    <s v="Laila Samir"/>
    <n v="75000"/>
    <s v="Finance"/>
    <n v="280"/>
    <n v="332"/>
    <n v="0.22133333333333333"/>
    <s v="N/A"/>
    <s v="Short (&lt;=7 days)"/>
    <s v="Laila Samir"/>
    <s v="On schedule"/>
  </r>
  <r>
    <s v="TSK-0273"/>
    <s v="PRJ-014"/>
    <x v="3"/>
    <s v="Test database schema"/>
    <x v="3"/>
    <x v="15"/>
    <x v="1"/>
    <x v="5"/>
    <n v="2500"/>
    <n v="895"/>
    <d v="2024-02-16T00:00:00"/>
    <d v="2024-03-07T00:00:00"/>
    <m/>
    <n v="20"/>
    <n v="0"/>
    <s v="Orbit Media"/>
    <s v="Ahmed Nabil"/>
    <n v="300000"/>
    <s v="Procurement"/>
    <n v="250"/>
    <n v="-1605"/>
    <n v="-0.64200000000000002"/>
    <s v="N/A"/>
    <s v="Medium (8-20 days)"/>
    <s v="Ahmed Nabil"/>
    <s v="On schedule"/>
  </r>
  <r>
    <s v="TSK-0279"/>
    <s v="PRJ-014"/>
    <x v="3"/>
    <s v="Design inventory system"/>
    <x v="7"/>
    <x v="8"/>
    <x v="0"/>
    <x v="2"/>
    <n v="6000"/>
    <n v="5085"/>
    <d v="2024-05-14T00:00:00"/>
    <d v="2024-06-07T00:00:00"/>
    <d v="2024-06-07T00:00:00"/>
    <n v="24"/>
    <n v="0"/>
    <s v="Orbit Media"/>
    <s v="Ahmed Nabil"/>
    <n v="300000"/>
    <s v="Operations"/>
    <n v="180"/>
    <n v="-915"/>
    <n v="-0.1525"/>
    <s v="On Time"/>
    <s v="Long (&gt;20 days)"/>
    <s v="Ahmed Nabil"/>
    <s v="On schedule"/>
  </r>
  <r>
    <s v="TSK-0089"/>
    <s v="PRJ-005"/>
    <x v="4"/>
    <s v="Optimize security policy"/>
    <x v="3"/>
    <x v="11"/>
    <x v="0"/>
    <x v="1"/>
    <n v="6000"/>
    <n v="2042"/>
    <d v="2024-03-21T00:00:00"/>
    <d v="2024-04-17T00:00:00"/>
    <m/>
    <n v="27"/>
    <n v="0"/>
    <s v="Horizon Manufacturing"/>
    <s v="Ahmed Nabil"/>
    <n v="50000"/>
    <s v="Operations"/>
    <n v="200"/>
    <n v="-3958"/>
    <n v="-0.65966666666666662"/>
    <s v="N/A"/>
    <s v="Long (&gt;20 days)"/>
    <s v="Ahmed Nabil"/>
    <s v="On schedule"/>
  </r>
  <r>
    <s v="TSK-0173"/>
    <s v="PRJ-009"/>
    <x v="12"/>
    <s v="Plan customer feedback survey"/>
    <x v="6"/>
    <x v="9"/>
    <x v="1"/>
    <x v="1"/>
    <n v="4000"/>
    <n v="2867"/>
    <d v="2024-05-31T00:00:00"/>
    <d v="2024-06-25T00:00:00"/>
    <m/>
    <n v="25"/>
    <n v="0"/>
    <s v="Suez Trading Co."/>
    <s v="Laila Samir"/>
    <n v="100000"/>
    <s v="Procurement"/>
    <n v="150"/>
    <n v="-1133"/>
    <n v="-0.28325"/>
    <s v="N/A"/>
    <s v="Long (&gt;20 days)"/>
    <s v="Laila Samir"/>
    <s v="On schedule"/>
  </r>
  <r>
    <s v="TSK-0283"/>
    <s v="PRJ-014"/>
    <x v="3"/>
    <s v="Procure quality checklist"/>
    <x v="2"/>
    <x v="24"/>
    <x v="1"/>
    <x v="2"/>
    <n v="1000"/>
    <n v="1328"/>
    <d v="2024-02-14T00:00:00"/>
    <d v="2024-03-07T00:00:00"/>
    <d v="2024-03-08T00:00:00"/>
    <n v="22"/>
    <n v="1"/>
    <s v="Orbit Media"/>
    <s v="Ahmed Nabil"/>
    <n v="300000"/>
    <s v="Quality Assurance"/>
    <n v="250"/>
    <n v="328"/>
    <n v="0.32800000000000001"/>
    <s v="Late"/>
    <s v="Long (&gt;20 days)"/>
    <s v="Ahmed Nabil"/>
    <s v="Delayed by 1 days"/>
  </r>
  <r>
    <s v="TSK-0003"/>
    <s v="PRJ-001"/>
    <x v="1"/>
    <s v="Deploy warehouse layout"/>
    <x v="5"/>
    <x v="10"/>
    <x v="0"/>
    <x v="1"/>
    <n v="3000"/>
    <n v="1804"/>
    <d v="2024-10-21T00:00:00"/>
    <d v="2024-10-31T00:00:00"/>
    <m/>
    <n v="10"/>
    <n v="0"/>
    <s v="Nile Corp"/>
    <s v="Mona Farid"/>
    <n v="75000"/>
    <s v="Operations"/>
    <n v="180"/>
    <n v="-1196"/>
    <n v="-0.39866666666666667"/>
    <s v="N/A"/>
    <s v="Medium (8-20 days)"/>
    <s v="Mona Farid"/>
    <s v="On schedule"/>
  </r>
  <r>
    <s v="TSK-0154"/>
    <s v="PRJ-008"/>
    <x v="7"/>
    <s v="Analyze marketing collateral"/>
    <x v="1"/>
    <x v="27"/>
    <x v="2"/>
    <x v="2"/>
    <n v="1500"/>
    <n v="1055"/>
    <d v="2024-05-17T00:00:00"/>
    <d v="2024-05-31T00:00:00"/>
    <d v="2024-05-28T00:00:00"/>
    <n v="14"/>
    <n v="-3"/>
    <s v="Pharos Holdings"/>
    <s v="Nourhan Tarek"/>
    <n v="300000"/>
    <s v="Operations"/>
    <n v="220"/>
    <n v="-445"/>
    <n v="-0.29666666666666669"/>
    <s v="On Time"/>
    <s v="Medium (8-20 days)"/>
    <s v="Nourhan Tarek"/>
    <s v="Early by 3 days"/>
  </r>
  <r>
    <s v="TSK-0162"/>
    <s v="PRJ-008"/>
    <x v="7"/>
    <s v="Document dashboard"/>
    <x v="7"/>
    <x v="26"/>
    <x v="0"/>
    <x v="0"/>
    <n v="2500"/>
    <n v="2644"/>
    <d v="2024-02-28T00:00:00"/>
    <d v="2024-03-05T00:00:00"/>
    <d v="2024-03-10T00:00:00"/>
    <n v="6"/>
    <n v="5"/>
    <s v="Pharos Holdings"/>
    <s v="Nourhan Tarek"/>
    <n v="300000"/>
    <s v="HR"/>
    <n v="180"/>
    <n v="144"/>
    <n v="5.7599999999999998E-2"/>
    <s v="N/A"/>
    <s v="Short (&lt;=7 days)"/>
    <s v="Nourhan Tarek"/>
    <s v="Delayed by 5 days"/>
  </r>
  <r>
    <s v="TSK-0242"/>
    <s v="PRJ-012"/>
    <x v="6"/>
    <s v="Procure vendor contract"/>
    <x v="3"/>
    <x v="16"/>
    <x v="1"/>
    <x v="1"/>
    <n v="3000"/>
    <n v="1248"/>
    <d v="2024-02-03T00:00:00"/>
    <d v="2024-03-04T00:00:00"/>
    <m/>
    <n v="30"/>
    <n v="0"/>
    <s v="Red Sea Tourism"/>
    <s v="Ahmed Nabil"/>
    <n v="250000"/>
    <s v="Procurement"/>
    <n v="180"/>
    <n v="-1752"/>
    <n v="-0.58399999999999996"/>
    <s v="N/A"/>
    <s v="Long (&gt;20 days)"/>
    <s v="Ahmed Nabil"/>
    <s v="On schedule"/>
  </r>
  <r>
    <s v="TSK-0039"/>
    <s v="PRJ-002"/>
    <x v="9"/>
    <s v="Deploy warehouse layout"/>
    <x v="2"/>
    <x v="1"/>
    <x v="1"/>
    <x v="0"/>
    <n v="10000"/>
    <n v="11406"/>
    <m/>
    <m/>
    <m/>
    <m/>
    <n v="0"/>
    <s v="Delta Retail Group"/>
    <s v="Youssef Adel"/>
    <n v="150000"/>
    <s v="IT"/>
    <n v="220"/>
    <n v="1406"/>
    <n v="0.1406"/>
    <s v="N/A"/>
    <s v="Short (&lt;=7 days)"/>
    <s v="Youssef Adel"/>
    <s v="On schedule"/>
  </r>
  <r>
    <s v="TSK-0002"/>
    <s v="PRJ-001"/>
    <x v="1"/>
    <s v="Document warehouse layout"/>
    <x v="5"/>
    <x v="20"/>
    <x v="0"/>
    <x v="1"/>
    <n v="2500"/>
    <n v="837"/>
    <d v="2024-10-05T00:00:00"/>
    <d v="2024-10-11T00:00:00"/>
    <m/>
    <n v="6"/>
    <n v="0"/>
    <s v="Nile Corp"/>
    <s v="Mona Farid"/>
    <n v="75000"/>
    <s v="Finance"/>
    <n v="250"/>
    <n v="-1663"/>
    <n v="-0.66520000000000001"/>
    <s v="N/A"/>
    <s v="Short (&lt;=7 days)"/>
    <s v="Mona Farid"/>
    <s v="On schedule"/>
  </r>
  <r>
    <s v="TSK-0264"/>
    <s v="PRJ-013"/>
    <x v="14"/>
    <s v="Plan employee handbook"/>
    <x v="7"/>
    <x v="3"/>
    <x v="0"/>
    <x v="3"/>
    <n v="2500"/>
    <n v="2311"/>
    <d v="2024-04-12T00:00:00"/>
    <d v="2024-04-24T00:00:00"/>
    <d v="2024-04-26T00:00:00"/>
    <n v="12"/>
    <n v="2"/>
    <s v="Internal"/>
    <s v="Nourhan Tarek"/>
    <n v="200000"/>
    <s v="IT"/>
    <n v="280"/>
    <n v="-189"/>
    <n v="-7.5600000000000001E-2"/>
    <s v="N/A"/>
    <s v="Medium (8-20 days)"/>
    <s v="Nourhan Tarek"/>
    <s v="Delayed by 2 days"/>
  </r>
  <r>
    <s v="TSK-0035"/>
    <s v="PRJ-002"/>
    <x v="9"/>
    <s v="Audit warehouse layout"/>
    <x v="5"/>
    <x v="19"/>
    <x v="2"/>
    <x v="2"/>
    <n v="1500"/>
    <n v="1359"/>
    <m/>
    <m/>
    <m/>
    <m/>
    <n v="0"/>
    <s v="Delta Retail Group"/>
    <s v="Youssef Adel"/>
    <n v="150000"/>
    <s v="Finance"/>
    <n v="220"/>
    <n v="-141"/>
    <n v="-9.4E-2"/>
    <s v="On Time"/>
    <s v="Short (&lt;=7 days)"/>
    <s v="Youssef Adel"/>
    <s v="On schedule"/>
  </r>
  <r>
    <s v="TSK-0247"/>
    <s v="PRJ-012"/>
    <x v="6"/>
    <s v="Document employee handbook"/>
    <x v="2"/>
    <x v="13"/>
    <x v="0"/>
    <x v="2"/>
    <n v="4000"/>
    <n v="0"/>
    <d v="2024-02-12T00:00:00"/>
    <d v="2024-03-10T00:00:00"/>
    <d v="2024-03-10T00:00:00"/>
    <n v="27"/>
    <n v="0"/>
    <s v="Red Sea Tourism"/>
    <s v="Ahmed Nabil"/>
    <n v="250000"/>
    <s v="Operations"/>
    <n v="200"/>
    <n v="-4000"/>
    <n v="-1"/>
    <s v="On Time"/>
    <s v="Long (&gt;20 days)"/>
    <s v="Ahmed Nabil"/>
    <s v="On schedule"/>
  </r>
  <r>
    <s v="TSK-0226"/>
    <s v="PRJ-011"/>
    <x v="8"/>
    <s v="Design inventory system"/>
    <x v="1"/>
    <x v="7"/>
    <x v="2"/>
    <x v="2"/>
    <n v="1000"/>
    <n v="1032"/>
    <m/>
    <m/>
    <m/>
    <m/>
    <n v="0"/>
    <s v="Giza Health Systems"/>
    <s v="Ahmed Nabil"/>
    <n v="200000"/>
    <s v="IT"/>
    <n v="220"/>
    <n v="32"/>
    <n v="3.2000000000000001E-2"/>
    <s v="On Time"/>
    <s v="Short (&lt;=7 days)"/>
    <s v="Ahmed Nabil"/>
    <s v="On schedule"/>
  </r>
  <r>
    <s v="TSK-0265"/>
    <s v="PRJ-013"/>
    <x v="14"/>
    <s v="Install backup procedure"/>
    <x v="1"/>
    <x v="7"/>
    <x v="1"/>
    <x v="0"/>
    <n v="1500"/>
    <n v="1834"/>
    <d v="2024-08-16T00:00:00"/>
    <d v="2024-09-14T00:00:00"/>
    <d v="2024-09-24T00:00:00"/>
    <n v="29"/>
    <n v="10"/>
    <s v="Internal"/>
    <s v="Nourhan Tarek"/>
    <n v="200000"/>
    <s v="IT"/>
    <n v="220"/>
    <n v="334"/>
    <n v="0.22266666666666668"/>
    <s v="N/A"/>
    <s v="Long (&gt;20 days)"/>
    <s v="Nourhan Tarek"/>
    <s v="Delayed by 10 days"/>
  </r>
  <r>
    <s v="TSK-0102"/>
    <s v="PRJ-005"/>
    <x v="4"/>
    <s v="Deploy dashboard"/>
    <x v="4"/>
    <x v="1"/>
    <x v="3"/>
    <x v="4"/>
    <n v="10000"/>
    <n v="0"/>
    <d v="2024-04-10T00:00:00"/>
    <d v="2024-04-25T00:00:00"/>
    <m/>
    <n v="15"/>
    <n v="0"/>
    <s v="Horizon Manufacturing"/>
    <s v="Ahmed Nabil"/>
    <n v="50000"/>
    <s v="IT"/>
    <n v="220"/>
    <n v="-10000"/>
    <n v="-1"/>
    <s v="N/A"/>
    <s v="Medium (8-20 days)"/>
    <s v="Ahmed Nabil"/>
    <s v="On schedule"/>
  </r>
  <r>
    <s v="TSK-0115"/>
    <s v="PRJ-006"/>
    <x v="10"/>
    <s v="Train users on customer feedback survey"/>
    <x v="0"/>
    <x v="26"/>
    <x v="2"/>
    <x v="5"/>
    <n v="3000"/>
    <n v="732"/>
    <d v="2024-05-27T00:00:00"/>
    <d v="2024-06-16T00:00:00"/>
    <m/>
    <n v="20"/>
    <n v="0"/>
    <s v="BlueWave Telecom"/>
    <s v="Mona Farid"/>
    <n v="120000"/>
    <s v="HR"/>
    <n v="180"/>
    <n v="-2268"/>
    <n v="-0.75600000000000001"/>
    <s v="N/A"/>
    <s v="Medium (8-20 days)"/>
    <s v="Mona Farid"/>
    <s v="On schedule"/>
  </r>
  <r>
    <s v="TSK-0116"/>
    <s v="PRJ-006"/>
    <x v="10"/>
    <s v="Develop user interface"/>
    <x v="2"/>
    <x v="26"/>
    <x v="2"/>
    <x v="1"/>
    <n v="10000"/>
    <n v="5055"/>
    <d v="2024-04-01T00:00:00"/>
    <d v="2024-04-10T00:00:00"/>
    <m/>
    <n v="9"/>
    <n v="0"/>
    <s v="BlueWave Telecom"/>
    <s v="Mona Farid"/>
    <n v="120000"/>
    <s v="HR"/>
    <n v="180"/>
    <n v="-4945"/>
    <n v="-0.4945"/>
    <s v="N/A"/>
    <s v="Medium (8-20 days)"/>
    <s v="Mona Farid"/>
    <s v="On schedule"/>
  </r>
  <r>
    <s v="TSK-0200"/>
    <s v="PRJ-010"/>
    <x v="5"/>
    <s v="Review user interface"/>
    <x v="2"/>
    <x v="4"/>
    <x v="1"/>
    <x v="2"/>
    <n v="0"/>
    <n v="1529"/>
    <d v="2024-05-17T00:00:00"/>
    <d v="2024-06-09T00:00:00"/>
    <d v="2024-06-09T00:00:00"/>
    <n v="23"/>
    <n v="0"/>
    <s v="Internal"/>
    <s v="Sara Hassan"/>
    <n v="150000"/>
    <s v="Quality Assurance"/>
    <n v="200"/>
    <n v="1529"/>
    <n v="0"/>
    <s v="On Time"/>
    <s v="Long (&gt;20 days)"/>
    <s v="Sara Hassan"/>
    <s v="On schedule"/>
  </r>
  <r>
    <s v="TSK-0097"/>
    <s v="PRJ-005"/>
    <x v="4"/>
    <s v="Audit security policy"/>
    <x v="5"/>
    <x v="2"/>
    <x v="2"/>
    <x v="2"/>
    <n v="1500"/>
    <n v="1802"/>
    <d v="2024-02-24T00:00:00"/>
    <d v="2024-03-23T00:00:00"/>
    <d v="2024-03-21T00:00:00"/>
    <n v="28"/>
    <n v="-2"/>
    <s v="Horizon Manufacturing"/>
    <s v="Ahmed Nabil"/>
    <n v="50000"/>
    <s v="Marketing"/>
    <n v="280"/>
    <n v="302"/>
    <n v="0.20133333333333334"/>
    <s v="On Time"/>
    <s v="Long (&gt;20 days)"/>
    <s v="Ahmed Nabil"/>
    <s v="Early by 2 days"/>
  </r>
  <r>
    <s v="TSK-0301"/>
    <s v="PRJ-015"/>
    <x v="11"/>
    <s v="Audit marketing collateral"/>
    <x v="1"/>
    <x v="20"/>
    <x v="1"/>
    <x v="2"/>
    <n v="8000"/>
    <n v="8590"/>
    <d v="2024-08-11T00:00:00"/>
    <d v="2024-08-18T00:00:00"/>
    <d v="2024-08-20T00:00:00"/>
    <n v="7"/>
    <n v="2"/>
    <s v="Internal"/>
    <s v="Nourhan Tarek"/>
    <n v="75000"/>
    <s v="Finance"/>
    <n v="250"/>
    <n v="590"/>
    <n v="7.3749999999999996E-2"/>
    <s v="Late"/>
    <s v="Short (&lt;=7 days)"/>
    <s v="Nourhan Tarek"/>
    <s v="Delayed by 2 days"/>
  </r>
  <r>
    <s v="TSK-0140"/>
    <s v="PRJ-007"/>
    <x v="13"/>
    <s v="Deploy onboarding process"/>
    <x v="1"/>
    <x v="0"/>
    <x v="0"/>
    <x v="2"/>
    <n v="5000"/>
    <n v="6887"/>
    <d v="2024-09-18T00:00:00"/>
    <d v="2024-09-22T00:00:00"/>
    <d v="2024-09-23T00:00:00"/>
    <n v="4"/>
    <n v="1"/>
    <s v="Internal"/>
    <s v="Laila Samir"/>
    <n v="120000"/>
    <s v="HR"/>
    <n v="150"/>
    <n v="1887"/>
    <n v="0.37740000000000001"/>
    <s v="Late"/>
    <s v="Short (&lt;=7 days)"/>
    <s v="Laila Samir"/>
    <s v="Delayed by 1 days"/>
  </r>
  <r>
    <s v="TSK-0241"/>
    <s v="PRJ-012"/>
    <x v="6"/>
    <s v="Test vendor contract"/>
    <x v="5"/>
    <x v="7"/>
    <x v="1"/>
    <x v="1"/>
    <n v="10000"/>
    <n v="6014"/>
    <d v="2024-02-21T00:00:00"/>
    <d v="2024-03-21T00:00:00"/>
    <m/>
    <n v="29"/>
    <n v="0"/>
    <s v="Red Sea Tourism"/>
    <s v="Ahmed Nabil"/>
    <n v="250000"/>
    <s v="IT"/>
    <n v="220"/>
    <n v="-3986"/>
    <n v="-0.39860000000000001"/>
    <s v="N/A"/>
    <s v="Long (&gt;20 days)"/>
    <s v="Ahmed Nabil"/>
    <s v="On schedule"/>
  </r>
  <r>
    <s v="TSK-0243"/>
    <s v="PRJ-012"/>
    <x v="6"/>
    <s v="Review onboarding process"/>
    <x v="2"/>
    <x v="20"/>
    <x v="0"/>
    <x v="0"/>
    <n v="0"/>
    <n v="1441"/>
    <m/>
    <m/>
    <m/>
    <m/>
    <n v="0"/>
    <s v="Red Sea Tourism"/>
    <s v="Ahmed Nabil"/>
    <n v="250000"/>
    <s v="Finance"/>
    <n v="250"/>
    <n v="1441"/>
    <n v="0"/>
    <s v="N/A"/>
    <s v="Short (&lt;=7 days)"/>
    <s v="Ahmed Nabil"/>
    <s v="On schedule"/>
  </r>
  <r>
    <s v="TSK-0111"/>
    <s v="PRJ-006"/>
    <x v="10"/>
    <s v="Deploy quality checklist"/>
    <x v="3"/>
    <x v="6"/>
    <x v="0"/>
    <x v="2"/>
    <n v="4000"/>
    <n v="4856"/>
    <d v="2024-04-01T00:00:00"/>
    <d v="2024-04-14T00:00:00"/>
    <d v="2024-04-16T00:00:00"/>
    <n v="13"/>
    <n v="2"/>
    <s v="BlueWave Telecom"/>
    <s v="Mona Farid"/>
    <n v="120000"/>
    <s v="Finance"/>
    <n v="280"/>
    <n v="856"/>
    <n v="0.214"/>
    <s v="Late"/>
    <s v="Medium (8-20 days)"/>
    <s v="Mona Farid"/>
    <s v="Delayed by 2 days"/>
  </r>
  <r>
    <s v="TSK-0106"/>
    <s v="PRJ-005"/>
    <x v="4"/>
    <s v="Approve API integration"/>
    <x v="3"/>
    <x v="3"/>
    <x v="0"/>
    <x v="5"/>
    <n v="10000"/>
    <n v="7305"/>
    <d v="2024-05-29T00:00:00"/>
    <d v="2024-06-05T00:00:00"/>
    <m/>
    <n v="7"/>
    <n v="0"/>
    <s v="Horizon Manufacturing"/>
    <s v="Ahmed Nabil"/>
    <n v="50000"/>
    <s v="IT"/>
    <n v="280"/>
    <n v="-2695"/>
    <n v="-0.26950000000000002"/>
    <s v="N/A"/>
    <s v="Short (&lt;=7 days)"/>
    <s v="Ahmed Nabil"/>
    <s v="On schedule"/>
  </r>
  <r>
    <s v="TSK-0280"/>
    <s v="PRJ-014"/>
    <x v="3"/>
    <s v="Design hardware setup"/>
    <x v="1"/>
    <x v="19"/>
    <x v="2"/>
    <x v="2"/>
    <n v="2000"/>
    <n v="2123"/>
    <d v="2024-01-26T00:00:00"/>
    <d v="2024-02-03T00:00:00"/>
    <d v="2024-02-02T00:00:00"/>
    <n v="8"/>
    <n v="-1"/>
    <s v="Orbit Media"/>
    <s v="Ahmed Nabil"/>
    <n v="300000"/>
    <s v="Finance"/>
    <n v="220"/>
    <n v="123"/>
    <n v="6.1499999999999999E-2"/>
    <s v="On Time"/>
    <s v="Medium (8-20 days)"/>
    <s v="Ahmed Nabil"/>
    <s v="Early by 1 days"/>
  </r>
  <r>
    <s v="TSK-0084"/>
    <s v="PRJ-004"/>
    <x v="0"/>
    <s v="Install dashboard"/>
    <x v="2"/>
    <x v="1"/>
    <x v="2"/>
    <x v="4"/>
    <n v="2000"/>
    <n v="0"/>
    <m/>
    <m/>
    <m/>
    <m/>
    <n v="0"/>
    <s v="Cairo Financial Services"/>
    <s v="Laila Samir"/>
    <n v="75000"/>
    <s v="IT"/>
    <n v="220"/>
    <n v="-2000"/>
    <n v="-1"/>
    <s v="N/A"/>
    <s v="Short (&lt;=7 days)"/>
    <s v="Laila Samir"/>
    <s v="On schedule"/>
  </r>
  <r>
    <s v="TSK-0193"/>
    <s v="PRJ-010"/>
    <x v="5"/>
    <s v="Design supplier list"/>
    <x v="5"/>
    <x v="11"/>
    <x v="2"/>
    <x v="1"/>
    <n v="8000"/>
    <n v="5250"/>
    <m/>
    <m/>
    <m/>
    <m/>
    <n v="0"/>
    <s v="Internal"/>
    <s v="Sara Hassan"/>
    <n v="150000"/>
    <s v="Operations"/>
    <n v="200"/>
    <n v="-2750"/>
    <n v="-0.34375"/>
    <s v="N/A"/>
    <s v="Short (&lt;=7 days)"/>
    <s v="Sara Hassan"/>
    <s v="On schedule"/>
  </r>
  <r>
    <s v="TSK-0310"/>
    <s v="PRJ-015"/>
    <x v="11"/>
    <s v="Design supplier list"/>
    <x v="2"/>
    <x v="14"/>
    <x v="0"/>
    <x v="2"/>
    <n v="6000"/>
    <n v="8177"/>
    <d v="2024-08-04T00:00:00"/>
    <d v="2024-08-24T00:00:00"/>
    <d v="2024-08-21T00:00:00"/>
    <n v="20"/>
    <n v="-3"/>
    <s v="Internal"/>
    <s v="Nourhan Tarek"/>
    <n v="75000"/>
    <s v="Marketing"/>
    <n v="300"/>
    <n v="2177"/>
    <n v="0.36283333333333334"/>
    <s v="On Time"/>
    <s v="Medium (8-20 days)"/>
    <s v="Nourhan Tarek"/>
    <s v="Early by 3 days"/>
  </r>
  <r>
    <s v="TSK-0091"/>
    <s v="PRJ-005"/>
    <x v="4"/>
    <s v="Analyze database schema"/>
    <x v="6"/>
    <x v="11"/>
    <x v="0"/>
    <x v="1"/>
    <n v="5000"/>
    <n v="1275"/>
    <d v="2024-05-19T00:00:00"/>
    <d v="2024-05-26T00:00:00"/>
    <m/>
    <n v="7"/>
    <n v="0"/>
    <s v="Horizon Manufacturing"/>
    <s v="Ahmed Nabil"/>
    <n v="50000"/>
    <s v="Operations"/>
    <n v="200"/>
    <n v="-3725"/>
    <n v="-0.745"/>
    <s v="N/A"/>
    <s v="Short (&lt;=7 days)"/>
    <s v="Ahmed Nabil"/>
    <s v="On schedule"/>
  </r>
  <r>
    <s v="TSK-0114"/>
    <s v="PRJ-006"/>
    <x v="10"/>
    <s v="Deploy marketing collateral"/>
    <x v="1"/>
    <x v="5"/>
    <x v="0"/>
    <x v="1"/>
    <n v="8000"/>
    <n v="1639"/>
    <d v="2024-06-24T00:00:00"/>
    <d v="2024-07-06T00:00:00"/>
    <m/>
    <n v="12"/>
    <n v="0"/>
    <s v="BlueWave Telecom"/>
    <s v="Mona Farid"/>
    <n v="120000"/>
    <s v="IT"/>
    <n v="180"/>
    <n v="-6361"/>
    <n v="-0.79512499999999997"/>
    <s v="N/A"/>
    <s v="Medium (8-20 days)"/>
    <s v="Mona Farid"/>
    <s v="On schedule"/>
  </r>
  <r>
    <s v="TSK-0217"/>
    <s v="PRJ-011"/>
    <x v="8"/>
    <s v="Deploy vendor contract"/>
    <x v="3"/>
    <x v="17"/>
    <x v="2"/>
    <x v="0"/>
    <n v="5000"/>
    <n v="6660"/>
    <d v="2024-06-25T00:00:00"/>
    <d v="2024-07-07T00:00:00"/>
    <d v="2024-07-06T00:00:00"/>
    <n v="12"/>
    <n v="-1"/>
    <s v="Giza Health Systems"/>
    <s v="Ahmed Nabil"/>
    <n v="200000"/>
    <s v="Procurement"/>
    <n v="180"/>
    <n v="1660"/>
    <n v="0.33200000000000002"/>
    <s v="N/A"/>
    <s v="Medium (8-20 days)"/>
    <s v="Ahmed Nabil"/>
    <s v="Early by 1 days"/>
  </r>
  <r>
    <s v="TSK-0041"/>
    <s v="PRJ-002"/>
    <x v="9"/>
    <s v="Plan database schema"/>
    <x v="5"/>
    <x v="0"/>
    <x v="2"/>
    <x v="0"/>
    <n v="2000"/>
    <n v="1736"/>
    <d v="2024-09-13T00:00:00"/>
    <d v="2024-10-07T00:00:00"/>
    <d v="2024-10-06T00:00:00"/>
    <n v="24"/>
    <n v="-1"/>
    <s v="Delta Retail Group"/>
    <s v="Youssef Adel"/>
    <n v="150000"/>
    <s v="HR"/>
    <n v="150"/>
    <n v="-264"/>
    <n v="-0.13200000000000001"/>
    <s v="N/A"/>
    <s v="Long (&gt;20 days)"/>
    <s v="Youssef Adel"/>
    <s v="Early by 1 days"/>
  </r>
  <r>
    <s v="TSK-0087"/>
    <s v="PRJ-004"/>
    <x v="0"/>
    <s v="Optimize security policy"/>
    <x v="6"/>
    <x v="10"/>
    <x v="1"/>
    <x v="3"/>
    <n v="4000"/>
    <n v="3665"/>
    <d v="2024-10-30T00:00:00"/>
    <d v="2024-11-13T00:00:00"/>
    <d v="2024-11-10T00:00:00"/>
    <n v="14"/>
    <n v="-3"/>
    <s v="Cairo Financial Services"/>
    <s v="Laila Samir"/>
    <n v="75000"/>
    <s v="Operations"/>
    <n v="180"/>
    <n v="-335"/>
    <n v="-8.3750000000000005E-2"/>
    <s v="N/A"/>
    <s v="Medium (8-20 days)"/>
    <s v="Laila Samir"/>
    <s v="Early by 3 days"/>
  </r>
  <r>
    <s v="TSK-0130"/>
    <s v="PRJ-007"/>
    <x v="13"/>
    <s v="Review hardware setup"/>
    <x v="5"/>
    <x v="17"/>
    <x v="2"/>
    <x v="2"/>
    <n v="5000"/>
    <n v="0"/>
    <d v="2024-09-19T00:00:00"/>
    <d v="2024-10-01T00:00:00"/>
    <d v="2024-09-29T00:00:00"/>
    <n v="12"/>
    <n v="-2"/>
    <s v="Internal"/>
    <s v="Laila Samir"/>
    <n v="120000"/>
    <s v="Procurement"/>
    <n v="180"/>
    <n v="-5000"/>
    <n v="-1"/>
    <s v="On Time"/>
    <s v="Medium (8-20 days)"/>
    <s v="Laila Samir"/>
    <s v="Early by 2 days"/>
  </r>
  <r>
    <s v="TSK-0103"/>
    <s v="PRJ-005"/>
    <x v="4"/>
    <s v="Optimize server configuration"/>
    <x v="6"/>
    <x v="22"/>
    <x v="0"/>
    <x v="3"/>
    <n v="2500"/>
    <n v="3431"/>
    <m/>
    <m/>
    <m/>
    <m/>
    <n v="0"/>
    <s v="Horizon Manufacturing"/>
    <s v="Ahmed Nabil"/>
    <n v="50000"/>
    <s v="IT"/>
    <n v="150"/>
    <n v="931"/>
    <n v="0.37240000000000001"/>
    <s v="N/A"/>
    <s v="Short (&lt;=7 days)"/>
    <s v="Ahmed Nabil"/>
    <s v="On schedule"/>
  </r>
  <r>
    <s v="TSK-0302"/>
    <s v="PRJ-015"/>
    <x v="11"/>
    <s v="Analyze quality checklist"/>
    <x v="3"/>
    <x v="20"/>
    <x v="1"/>
    <x v="2"/>
    <n v="1500"/>
    <n v="1522"/>
    <d v="2024-08-05T00:00:00"/>
    <d v="2024-09-03T00:00:00"/>
    <d v="2024-09-05T00:00:00"/>
    <n v="29"/>
    <n v="2"/>
    <s v="Internal"/>
    <s v="Nourhan Tarek"/>
    <n v="75000"/>
    <s v="Finance"/>
    <n v="250"/>
    <n v="22"/>
    <n v="1.4666666666666666E-2"/>
    <s v="Late"/>
    <s v="Long (&gt;20 days)"/>
    <s v="Nourhan Tarek"/>
    <s v="Delayed by 2 days"/>
  </r>
  <r>
    <s v="TSK-0308"/>
    <s v="PRJ-015"/>
    <x v="11"/>
    <s v="Plan warehouse layout"/>
    <x v="5"/>
    <x v="17"/>
    <x v="0"/>
    <x v="0"/>
    <n v="6000"/>
    <n v="4767"/>
    <d v="2024-08-22T00:00:00"/>
    <d v="2024-09-02T00:00:00"/>
    <d v="2024-09-16T00:00:00"/>
    <n v="11"/>
    <n v="14"/>
    <s v="Internal"/>
    <s v="Nourhan Tarek"/>
    <n v="75000"/>
    <s v="Procurement"/>
    <n v="180"/>
    <n v="-1233"/>
    <n v="-0.20549999999999999"/>
    <s v="N/A"/>
    <s v="Medium (8-20 days)"/>
    <s v="Nourhan Tarek"/>
    <s v="Delayed by 14 days"/>
  </r>
  <r>
    <s v="TSK-0043"/>
    <s v="PRJ-003"/>
    <x v="2"/>
    <s v="Install hardware setup"/>
    <x v="1"/>
    <x v="2"/>
    <x v="1"/>
    <x v="2"/>
    <n v="10000"/>
    <n v="13448"/>
    <d v="2024-05-15T00:00:00"/>
    <d v="2024-06-06T00:00:00"/>
    <d v="2024-06-08T00:00:00"/>
    <n v="22"/>
    <n v="2"/>
    <s v="Alexandria Logistics"/>
    <s v="Ahmed Nabil"/>
    <n v="100000"/>
    <s v="Marketing"/>
    <n v="280"/>
    <n v="3448"/>
    <n v="0.3448"/>
    <s v="Late"/>
    <s v="Long (&gt;20 days)"/>
    <s v="Ahmed Nabil"/>
    <s v="Delayed by 2 days"/>
  </r>
  <r>
    <s v="TSK-0027"/>
    <s v="PRJ-002"/>
    <x v="9"/>
    <s v="Design budget report"/>
    <x v="4"/>
    <x v="19"/>
    <x v="2"/>
    <x v="1"/>
    <n v="10000"/>
    <n v="5205"/>
    <d v="2024-11-04T00:00:00"/>
    <d v="2024-11-11T00:00:00"/>
    <m/>
    <n v="7"/>
    <n v="0"/>
    <s v="Delta Retail Group"/>
    <s v="Youssef Adel"/>
    <n v="150000"/>
    <s v="Finance"/>
    <n v="220"/>
    <n v="-4795"/>
    <n v="-0.47949999999999998"/>
    <s v="N/A"/>
    <s v="Short (&lt;=7 days)"/>
    <s v="Youssef Adel"/>
    <s v="On schedule"/>
  </r>
  <r>
    <s v="TSK-0110"/>
    <s v="PRJ-006"/>
    <x v="10"/>
    <s v="Audit dashboard"/>
    <x v="7"/>
    <x v="12"/>
    <x v="0"/>
    <x v="2"/>
    <n v="6000"/>
    <n v="5228"/>
    <d v="2024-05-09T00:00:00"/>
    <d v="2024-06-01T00:00:00"/>
    <d v="2024-05-31T00:00:00"/>
    <n v="23"/>
    <n v="-1"/>
    <s v="BlueWave Telecom"/>
    <s v="Mona Farid"/>
    <n v="120000"/>
    <s v="Quality Assurance"/>
    <n v="250"/>
    <n v="-772"/>
    <n v="-0.12866666666666668"/>
    <s v="On Time"/>
    <s v="Long (&gt;20 days)"/>
    <s v="Mona Farid"/>
    <s v="Early by 1 days"/>
  </r>
  <r>
    <s v="TSK-0118"/>
    <s v="PRJ-006"/>
    <x v="10"/>
    <s v="Optimize marketing collateral"/>
    <x v="5"/>
    <x v="21"/>
    <x v="0"/>
    <x v="1"/>
    <n v="10000"/>
    <n v="3846"/>
    <d v="2024-03-24T00:00:00"/>
    <d v="2024-04-09T00:00:00"/>
    <m/>
    <n v="16"/>
    <n v="0"/>
    <s v="BlueWave Telecom"/>
    <s v="Mona Farid"/>
    <n v="120000"/>
    <s v="Procurement"/>
    <n v="200"/>
    <n v="-6154"/>
    <n v="-0.61539999999999995"/>
    <s v="N/A"/>
    <s v="Medium (8-20 days)"/>
    <s v="Mona Farid"/>
    <s v="On schedule"/>
  </r>
  <r>
    <s v="TSK-0092"/>
    <s v="PRJ-005"/>
    <x v="4"/>
    <s v="Deploy network infrastructure"/>
    <x v="0"/>
    <x v="15"/>
    <x v="0"/>
    <x v="1"/>
    <n v="1500"/>
    <n v="1055"/>
    <d v="2024-01-16T00:00:00"/>
    <d v="2024-01-29T00:00:00"/>
    <m/>
    <n v="13"/>
    <n v="0"/>
    <s v="Horizon Manufacturing"/>
    <s v="Ahmed Nabil"/>
    <n v="50000"/>
    <s v="Procurement"/>
    <n v="250"/>
    <n v="-445"/>
    <n v="-0.29666666666666669"/>
    <s v="N/A"/>
    <s v="Medium (8-20 days)"/>
    <s v="Ahmed Nabil"/>
    <s v="On schedule"/>
  </r>
  <r>
    <s v="TSK-0148"/>
    <s v="PRJ-008"/>
    <x v="7"/>
    <s v="Audit budget report"/>
    <x v="7"/>
    <x v="17"/>
    <x v="0"/>
    <x v="2"/>
    <n v="10000"/>
    <n v="8702"/>
    <m/>
    <m/>
    <m/>
    <m/>
    <n v="0"/>
    <s v="Pharos Holdings"/>
    <s v="Nourhan Tarek"/>
    <n v="300000"/>
    <s v="Procurement"/>
    <n v="180"/>
    <n v="-1298"/>
    <n v="-0.1298"/>
    <s v="On Time"/>
    <s v="Short (&lt;=7 days)"/>
    <s v="Nourhan Tarek"/>
    <s v="On schedule"/>
  </r>
  <r>
    <s v="TSK-0202"/>
    <s v="PRJ-010"/>
    <x v="5"/>
    <s v="Document employee handbook"/>
    <x v="7"/>
    <x v="25"/>
    <x v="0"/>
    <x v="2"/>
    <n v="3000"/>
    <n v="2904"/>
    <m/>
    <m/>
    <m/>
    <m/>
    <n v="0"/>
    <s v="Internal"/>
    <s v="Sara Hassan"/>
    <n v="150000"/>
    <s v="Marketing"/>
    <n v="220"/>
    <n v="-96"/>
    <n v="-3.2000000000000001E-2"/>
    <s v="On Time"/>
    <s v="Short (&lt;=7 days)"/>
    <s v="Sara Hassan"/>
    <s v="On schedule"/>
  </r>
  <r>
    <s v="TSK-0230"/>
    <s v="PRJ-011"/>
    <x v="8"/>
    <s v="Audit training material"/>
    <x v="3"/>
    <x v="16"/>
    <x v="1"/>
    <x v="3"/>
    <n v="6000"/>
    <n v="8007"/>
    <d v="2024-04-21T00:00:00"/>
    <d v="2024-05-15T00:00:00"/>
    <d v="2024-05-16T00:00:00"/>
    <n v="24"/>
    <n v="1"/>
    <s v="Giza Health Systems"/>
    <s v="Ahmed Nabil"/>
    <n v="200000"/>
    <s v="Procurement"/>
    <n v="180"/>
    <n v="2007"/>
    <n v="0.33450000000000002"/>
    <s v="N/A"/>
    <s v="Long (&gt;20 days)"/>
    <s v="Ahmed Nabil"/>
    <s v="Delayed by 1 days"/>
  </r>
  <r>
    <s v="TSK-0282"/>
    <s v="PRJ-014"/>
    <x v="3"/>
    <s v="Review training material"/>
    <x v="2"/>
    <x v="4"/>
    <x v="1"/>
    <x v="1"/>
    <n v="8000"/>
    <n v="0"/>
    <m/>
    <m/>
    <m/>
    <m/>
    <n v="0"/>
    <s v="Orbit Media"/>
    <s v="Ahmed Nabil"/>
    <n v="300000"/>
    <s v="Quality Assurance"/>
    <n v="200"/>
    <n v="-8000"/>
    <n v="-1"/>
    <s v="N/A"/>
    <s v="Short (&lt;=7 days)"/>
    <s v="Ahmed Nabil"/>
    <s v="On schedule"/>
  </r>
  <r>
    <s v="TSK-0170"/>
    <s v="PRJ-009"/>
    <x v="12"/>
    <s v="Plan budget report"/>
    <x v="1"/>
    <x v="2"/>
    <x v="2"/>
    <x v="7"/>
    <n v="5000"/>
    <n v="5985"/>
    <d v="2024-04-15T00:00:00"/>
    <d v="2024-05-09T00:00:00"/>
    <d v="2024-05-21T00:00:00"/>
    <n v="24"/>
    <n v="12"/>
    <s v="Suez Trading Co."/>
    <s v="Laila Samir"/>
    <n v="100000"/>
    <s v="Marketing"/>
    <n v="280"/>
    <n v="985"/>
    <n v="0.19700000000000001"/>
    <s v="N/A"/>
    <s v="Long (&gt;20 days)"/>
    <s v="Laila Samir"/>
    <s v="Delayed by 12 days"/>
  </r>
  <r>
    <s v="TSK-0309"/>
    <s v="PRJ-015"/>
    <x v="11"/>
    <s v="Analyze supplier list"/>
    <x v="5"/>
    <x v="2"/>
    <x v="0"/>
    <x v="5"/>
    <n v="2500"/>
    <n v="1707"/>
    <d v="2024-08-07T00:00:00"/>
    <d v="2024-08-27T00:00:00"/>
    <m/>
    <n v="20"/>
    <n v="0"/>
    <s v="Internal"/>
    <s v="Nourhan Tarek"/>
    <n v="75000"/>
    <s v="Marketing"/>
    <n v="280"/>
    <n v="-793"/>
    <n v="-0.31719999999999998"/>
    <s v="N/A"/>
    <s v="Medium (8-20 days)"/>
    <s v="Nourhan Tarek"/>
    <s v="On schedule"/>
  </r>
  <r>
    <s v="TSK-0234"/>
    <s v="PRJ-012"/>
    <x v="6"/>
    <s v="Approve supplier list"/>
    <x v="0"/>
    <x v="15"/>
    <x v="2"/>
    <x v="2"/>
    <n v="2000"/>
    <n v="2260"/>
    <d v="2024-05-28T00:00:00"/>
    <d v="2024-06-25T00:00:00"/>
    <d v="2024-06-22T00:00:00"/>
    <n v="28"/>
    <n v="-3"/>
    <s v="Red Sea Tourism"/>
    <s v="Ahmed Nabil"/>
    <n v="250000"/>
    <s v="Procurement"/>
    <n v="250"/>
    <n v="260"/>
    <n v="0.13"/>
    <s v="On Time"/>
    <s v="Long (&gt;20 days)"/>
    <s v="Ahmed Nabil"/>
    <s v="Early by 3 days"/>
  </r>
  <r>
    <s v="TSK-0161"/>
    <s v="PRJ-008"/>
    <x v="7"/>
    <s v="Document quality checklist"/>
    <x v="7"/>
    <x v="3"/>
    <x v="2"/>
    <x v="2"/>
    <n v="10000"/>
    <n v="11467"/>
    <d v="2024-05-28T00:00:00"/>
    <d v="2024-06-22T00:00:00"/>
    <d v="2024-06-23T00:00:00"/>
    <n v="25"/>
    <n v="1"/>
    <s v="Pharos Holdings"/>
    <s v="Nourhan Tarek"/>
    <n v="300000"/>
    <s v="IT"/>
    <n v="280"/>
    <n v="1467"/>
    <n v="0.1467"/>
    <s v="Late"/>
    <s v="Long (&gt;20 days)"/>
    <s v="Nourhan Tarek"/>
    <s v="Delayed by 1 days"/>
  </r>
  <r>
    <s v="TSK-0146"/>
    <s v="PRJ-008"/>
    <x v="7"/>
    <s v="Optimize API integration"/>
    <x v="6"/>
    <x v="1"/>
    <x v="1"/>
    <x v="1"/>
    <n v="8000"/>
    <n v="3789"/>
    <d v="2024-02-28T00:00:00"/>
    <d v="2024-03-08T00:00:00"/>
    <m/>
    <n v="9"/>
    <n v="0"/>
    <s v="Pharos Holdings"/>
    <s v="Nourhan Tarek"/>
    <n v="300000"/>
    <s v="IT"/>
    <n v="220"/>
    <n v="-4211"/>
    <n v="-0.52637500000000004"/>
    <s v="N/A"/>
    <s v="Medium (8-20 days)"/>
    <s v="Nourhan Tarek"/>
    <s v="On schedule"/>
  </r>
  <r>
    <s v="TSK-0064"/>
    <s v="PRJ-003"/>
    <x v="2"/>
    <s v="Analyze user interface"/>
    <x v="7"/>
    <x v="5"/>
    <x v="1"/>
    <x v="0"/>
    <n v="2500"/>
    <n v="3247"/>
    <d v="2024-04-22T00:00:00"/>
    <d v="2024-05-09T00:00:00"/>
    <d v="2024-05-20T00:00:00"/>
    <n v="17"/>
    <n v="11"/>
    <s v="Alexandria Logistics"/>
    <s v="Ahmed Nabil"/>
    <n v="100000"/>
    <s v="IT"/>
    <n v="180"/>
    <n v="747"/>
    <n v="0.29880000000000001"/>
    <s v="N/A"/>
    <s v="Medium (8-20 days)"/>
    <s v="Ahmed Nabil"/>
    <s v="Delayed by 11 days"/>
  </r>
  <r>
    <s v="TSK-0221"/>
    <s v="PRJ-011"/>
    <x v="8"/>
    <s v="Design backup procedure"/>
    <x v="7"/>
    <x v="13"/>
    <x v="2"/>
    <x v="4"/>
    <n v="6000"/>
    <n v="0"/>
    <d v="2024-03-08T00:00:00"/>
    <d v="2024-04-03T00:00:00"/>
    <m/>
    <n v="26"/>
    <n v="0"/>
    <s v="Giza Health Systems"/>
    <s v="Ahmed Nabil"/>
    <n v="200000"/>
    <s v="Operations"/>
    <n v="200"/>
    <n v="-6000"/>
    <n v="-1"/>
    <s v="N/A"/>
    <s v="Long (&gt;20 days)"/>
    <s v="Ahmed Nabil"/>
    <s v="On schedule"/>
  </r>
  <r>
    <s v="TSK-0219"/>
    <s v="PRJ-011"/>
    <x v="8"/>
    <s v="Procure vendor contract"/>
    <x v="2"/>
    <x v="22"/>
    <x v="2"/>
    <x v="1"/>
    <n v="6000"/>
    <n v="4502"/>
    <d v="2024-05-05T00:00:00"/>
    <d v="2024-05-24T00:00:00"/>
    <m/>
    <n v="19"/>
    <n v="0"/>
    <s v="Giza Health Systems"/>
    <s v="Ahmed Nabil"/>
    <n v="200000"/>
    <s v="IT"/>
    <n v="150"/>
    <n v="-1498"/>
    <n v="-0.24966666666666668"/>
    <s v="N/A"/>
    <s v="Medium (8-20 days)"/>
    <s v="Ahmed Nabil"/>
    <s v="On schedule"/>
  </r>
  <r>
    <s v="TSK-0228"/>
    <s v="PRJ-011"/>
    <x v="8"/>
    <s v="Train users on marketing collateral"/>
    <x v="5"/>
    <x v="13"/>
    <x v="2"/>
    <x v="3"/>
    <n v="6000"/>
    <n v="4468"/>
    <d v="2024-05-11T00:00:00"/>
    <d v="2024-06-04T00:00:00"/>
    <d v="2024-06-01T00:00:00"/>
    <n v="24"/>
    <n v="-3"/>
    <s v="Giza Health Systems"/>
    <s v="Ahmed Nabil"/>
    <n v="200000"/>
    <s v="Operations"/>
    <n v="200"/>
    <n v="-1532"/>
    <n v="-0.25533333333333336"/>
    <s v="N/A"/>
    <s v="Long (&gt;20 days)"/>
    <s v="Ahmed Nabil"/>
    <s v="Early by 3 days"/>
  </r>
  <r>
    <s v="TSK-0255"/>
    <s v="PRJ-013"/>
    <x v="14"/>
    <s v="Procure employee handbook"/>
    <x v="5"/>
    <x v="0"/>
    <x v="2"/>
    <x v="0"/>
    <n v="1500"/>
    <n v="1849"/>
    <d v="2024-08-07T00:00:00"/>
    <d v="2024-08-27T00:00:00"/>
    <d v="2024-09-03T00:00:00"/>
    <n v="20"/>
    <n v="7"/>
    <s v="Internal"/>
    <s v="Nourhan Tarek"/>
    <n v="200000"/>
    <s v="HR"/>
    <n v="150"/>
    <n v="349"/>
    <n v="0.23266666666666666"/>
    <s v="N/A"/>
    <s v="Medium (8-20 days)"/>
    <s v="Nourhan Tarek"/>
    <s v="Delayed by 7 days"/>
  </r>
  <r>
    <s v="TSK-0293"/>
    <s v="PRJ-014"/>
    <x v="3"/>
    <s v="Optimize vendor contract"/>
    <x v="0"/>
    <x v="23"/>
    <x v="2"/>
    <x v="2"/>
    <n v="6000"/>
    <n v="7063"/>
    <d v="2024-03-14T00:00:00"/>
    <d v="2024-04-10T00:00:00"/>
    <d v="2024-04-09T00:00:00"/>
    <n v="27"/>
    <n v="-1"/>
    <s v="Orbit Media"/>
    <s v="Ahmed Nabil"/>
    <n v="300000"/>
    <s v="HR"/>
    <n v="300"/>
    <n v="1063"/>
    <n v="0.17716666666666667"/>
    <s v="On Time"/>
    <s v="Long (&gt;20 days)"/>
    <s v="Ahmed Nabil"/>
    <s v="Early by 1 days"/>
  </r>
  <r>
    <s v="TSK-0060"/>
    <s v="PRJ-003"/>
    <x v="2"/>
    <s v="Install budget report"/>
    <x v="1"/>
    <x v="20"/>
    <x v="2"/>
    <x v="2"/>
    <n v="3000"/>
    <n v="3668"/>
    <d v="2024-04-09T00:00:00"/>
    <d v="2024-04-20T00:00:00"/>
    <d v="2024-04-20T00:00:00"/>
    <n v="11"/>
    <n v="0"/>
    <s v="Alexandria Logistics"/>
    <s v="Ahmed Nabil"/>
    <n v="100000"/>
    <s v="Finance"/>
    <n v="250"/>
    <n v="668"/>
    <n v="0.22266666666666668"/>
    <s v="On Time"/>
    <s v="Medium (8-20 days)"/>
    <s v="Ahmed Nabil"/>
    <s v="On schedule"/>
  </r>
  <r>
    <s v="TSK-0227"/>
    <s v="PRJ-011"/>
    <x v="8"/>
    <s v="Approve warehouse layout"/>
    <x v="0"/>
    <x v="18"/>
    <x v="0"/>
    <x v="1"/>
    <n v="6000"/>
    <n v="2288"/>
    <d v="2024-04-29T00:00:00"/>
    <d v="2024-05-08T00:00:00"/>
    <m/>
    <n v="9"/>
    <n v="0"/>
    <s v="Giza Health Systems"/>
    <s v="Ahmed Nabil"/>
    <n v="200000"/>
    <m/>
    <m/>
    <n v="-3712"/>
    <n v="-0.6186666666666667"/>
    <s v="N/A"/>
    <s v="Medium (8-20 days)"/>
    <s v="Ahmed Nabil"/>
    <s v="On schedule"/>
  </r>
  <r>
    <s v="TSK-0133"/>
    <s v="PRJ-007"/>
    <x v="13"/>
    <s v="Install hardware setup"/>
    <x v="2"/>
    <x v="23"/>
    <x v="1"/>
    <x v="2"/>
    <n v="8000"/>
    <n v="7926"/>
    <d v="2024-06-06T00:00:00"/>
    <d v="2024-06-23T00:00:00"/>
    <d v="2024-06-21T00:00:00"/>
    <n v="17"/>
    <n v="-2"/>
    <s v="Internal"/>
    <s v="Laila Samir"/>
    <n v="120000"/>
    <s v="HR"/>
    <n v="300"/>
    <n v="-74"/>
    <n v="-9.2499999999999995E-3"/>
    <s v="On Time"/>
    <s v="Medium (8-20 days)"/>
    <s v="Laila Samir"/>
    <s v="Early by 2 days"/>
  </r>
  <r>
    <s v="TSK-0056"/>
    <s v="PRJ-003"/>
    <x v="2"/>
    <s v="Plan budget report"/>
    <x v="7"/>
    <x v="16"/>
    <x v="0"/>
    <x v="1"/>
    <n v="6000"/>
    <n v="4444"/>
    <d v="2024-02-29T00:00:00"/>
    <d v="2024-03-28T00:00:00"/>
    <m/>
    <n v="28"/>
    <n v="0"/>
    <s v="Alexandria Logistics"/>
    <s v="Ahmed Nabil"/>
    <n v="100000"/>
    <s v="Procurement"/>
    <n v="180"/>
    <n v="-1556"/>
    <n v="-0.25933333333333336"/>
    <s v="N/A"/>
    <s v="Long (&gt;20 days)"/>
    <s v="Ahmed Nabil"/>
    <s v="On schedule"/>
  </r>
  <r>
    <s v="TSK-0020"/>
    <s v="PRJ-002"/>
    <x v="9"/>
    <s v="Test hardware setup"/>
    <x v="1"/>
    <x v="12"/>
    <x v="2"/>
    <x v="3"/>
    <n v="2500"/>
    <n v="2645"/>
    <m/>
    <m/>
    <m/>
    <m/>
    <n v="0"/>
    <s v="Delta Retail Group"/>
    <s v="Youssef Adel"/>
    <n v="150000"/>
    <s v="Quality Assurance"/>
    <n v="250"/>
    <n v="145"/>
    <n v="5.8000000000000003E-2"/>
    <s v="N/A"/>
    <s v="Short (&lt;=7 days)"/>
    <s v="Youssef Adel"/>
    <s v="On schedule"/>
  </r>
  <r>
    <s v="TSK-0078"/>
    <s v="PRJ-004"/>
    <x v="0"/>
    <s v="Procure warehouse layout"/>
    <x v="5"/>
    <x v="20"/>
    <x v="1"/>
    <x v="2"/>
    <n v="6000"/>
    <n v="8069"/>
    <d v="2024-07-02T00:00:00"/>
    <d v="2024-07-18T00:00:00"/>
    <d v="2024-07-15T00:00:00"/>
    <n v="16"/>
    <n v="-3"/>
    <s v="Cairo Financial Services"/>
    <s v="Laila Samir"/>
    <n v="75000"/>
    <s v="Finance"/>
    <n v="250"/>
    <n v="2069"/>
    <n v="0.34483333333333333"/>
    <s v="On Time"/>
    <s v="Medium (8-20 days)"/>
    <s v="Laila Samir"/>
    <s v="Early by 3 days"/>
  </r>
  <r>
    <s v="TSK-0209"/>
    <s v="PRJ-011"/>
    <x v="8"/>
    <s v="Document warehouse layout"/>
    <x v="5"/>
    <x v="9"/>
    <x v="2"/>
    <x v="1"/>
    <n v="10000"/>
    <n v="2194"/>
    <d v="2024-07-20T00:00:00"/>
    <d v="2024-08-04T00:00:00"/>
    <m/>
    <n v="15"/>
    <n v="0"/>
    <s v="Giza Health Systems"/>
    <s v="Ahmed Nabil"/>
    <n v="200000"/>
    <s v="Procurement"/>
    <n v="150"/>
    <n v="-7806"/>
    <n v="-0.78059999999999996"/>
    <s v="N/A"/>
    <s v="Medium (8-20 days)"/>
    <s v="Ahmed Nabil"/>
    <s v="On schedule"/>
  </r>
  <r>
    <s v="TSK-0267"/>
    <s v="PRJ-013"/>
    <x v="14"/>
    <s v="Audit dashboard"/>
    <x v="2"/>
    <x v="9"/>
    <x v="3"/>
    <x v="4"/>
    <n v="3000"/>
    <n v="0"/>
    <d v="2024-04-28T00:00:00"/>
    <d v="2024-05-10T00:00:00"/>
    <m/>
    <n v="12"/>
    <n v="0"/>
    <s v="Internal"/>
    <s v="Nourhan Tarek"/>
    <n v="200000"/>
    <s v="Procurement"/>
    <n v="150"/>
    <n v="-3000"/>
    <n v="-1"/>
    <s v="N/A"/>
    <s v="Medium (8-20 days)"/>
    <s v="Nourhan Tarek"/>
    <s v="On schedule"/>
  </r>
  <r>
    <s v="TSK-0292"/>
    <s v="PRJ-014"/>
    <x v="3"/>
    <s v="Audit backup procedure"/>
    <x v="7"/>
    <x v="3"/>
    <x v="2"/>
    <x v="2"/>
    <n v="8000"/>
    <n v="6196"/>
    <d v="2024-03-18T00:00:00"/>
    <d v="2024-03-26T00:00:00"/>
    <d v="2024-03-26T00:00:00"/>
    <n v="8"/>
    <n v="0"/>
    <s v="Orbit Media"/>
    <s v="Ahmed Nabil"/>
    <n v="300000"/>
    <s v="IT"/>
    <n v="280"/>
    <n v="-1804"/>
    <n v="-0.22550000000000001"/>
    <s v="On Time"/>
    <s v="Medium (8-20 days)"/>
    <s v="Ahmed Nabil"/>
    <s v="On schedule"/>
  </r>
  <r>
    <s v="TSK-0136"/>
    <s v="PRJ-007"/>
    <x v="13"/>
    <s v="Train users on security policy"/>
    <x v="1"/>
    <x v="6"/>
    <x v="0"/>
    <x v="2"/>
    <n v="2500"/>
    <n v="2183"/>
    <m/>
    <m/>
    <m/>
    <m/>
    <n v="0"/>
    <s v="Internal"/>
    <s v="Laila Samir"/>
    <n v="120000"/>
    <s v="Finance"/>
    <n v="280"/>
    <n v="-317"/>
    <n v="-0.1268"/>
    <s v="On Time"/>
    <s v="Short (&lt;=7 days)"/>
    <s v="Laila Samir"/>
    <s v="On schedule"/>
  </r>
  <r>
    <s v="TSK-0289"/>
    <s v="PRJ-014"/>
    <x v="3"/>
    <s v="Develop training material"/>
    <x v="1"/>
    <x v="27"/>
    <x v="2"/>
    <x v="4"/>
    <n v="8000"/>
    <n v="0"/>
    <d v="2024-04-23T00:00:00"/>
    <d v="2024-05-15T00:00:00"/>
    <m/>
    <n v="22"/>
    <n v="0"/>
    <s v="Orbit Media"/>
    <s v="Ahmed Nabil"/>
    <n v="300000"/>
    <s v="Operations"/>
    <n v="220"/>
    <n v="-8000"/>
    <n v="-1"/>
    <s v="N/A"/>
    <s v="Long (&gt;20 days)"/>
    <s v="Ahmed Nabil"/>
    <s v="On schedule"/>
  </r>
  <r>
    <s v="TSK-0158"/>
    <s v="PRJ-008"/>
    <x v="7"/>
    <s v="Migrate hardware setup"/>
    <x v="3"/>
    <x v="8"/>
    <x v="1"/>
    <x v="5"/>
    <n v="2500"/>
    <n v="1219"/>
    <d v="2024-05-18T00:00:00"/>
    <d v="2024-06-09T00:00:00"/>
    <m/>
    <n v="22"/>
    <n v="0"/>
    <s v="Pharos Holdings"/>
    <s v="Nourhan Tarek"/>
    <n v="300000"/>
    <s v="Operations"/>
    <n v="180"/>
    <n v="-1281"/>
    <n v="-0.51239999999999997"/>
    <s v="N/A"/>
    <s v="Long (&gt;20 days)"/>
    <s v="Nourhan Tarek"/>
    <s v="On schedule"/>
  </r>
  <r>
    <s v="TSK-0015"/>
    <s v="PRJ-001"/>
    <x v="1"/>
    <s v="Approve user interface"/>
    <x v="6"/>
    <x v="17"/>
    <x v="1"/>
    <x v="0"/>
    <n v="3000"/>
    <n v="2434"/>
    <d v="2024-09-25T00:00:00"/>
    <d v="2024-10-23T00:00:00"/>
    <d v="2024-10-27T00:00:00"/>
    <n v="28"/>
    <n v="4"/>
    <s v="Nile Corp"/>
    <s v="Mona Farid"/>
    <n v="75000"/>
    <s v="Procurement"/>
    <n v="180"/>
    <n v="-566"/>
    <n v="-0.18866666666666668"/>
    <s v="N/A"/>
    <s v="Long (&gt;20 days)"/>
    <s v="Mona Farid"/>
    <s v="Delayed by 4 days"/>
  </r>
  <r>
    <s v="TSK-0182"/>
    <s v="PRJ-009"/>
    <x v="12"/>
    <s v="Deploy vendor contract"/>
    <x v="5"/>
    <x v="3"/>
    <x v="2"/>
    <x v="1"/>
    <n v="6000"/>
    <n v="4296"/>
    <d v="2024-04-16T00:00:00"/>
    <d v="2024-05-08T00:00:00"/>
    <m/>
    <n v="22"/>
    <n v="0"/>
    <s v="Suez Trading Co."/>
    <s v="Laila Samir"/>
    <n v="100000"/>
    <s v="IT"/>
    <n v="280"/>
    <n v="-1704"/>
    <n v="-0.28399999999999997"/>
    <s v="N/A"/>
    <s v="Long (&gt;20 days)"/>
    <s v="Laila Samir"/>
    <s v="On schedule"/>
  </r>
  <r>
    <s v="TSK-0262"/>
    <s v="PRJ-013"/>
    <x v="14"/>
    <s v="Optimize employee handbook"/>
    <x v="3"/>
    <x v="24"/>
    <x v="2"/>
    <x v="1"/>
    <n v="3000"/>
    <n v="993"/>
    <d v="2024-06-24T00:00:00"/>
    <d v="2024-07-08T00:00:00"/>
    <m/>
    <n v="14"/>
    <n v="0"/>
    <s v="Internal"/>
    <s v="Nourhan Tarek"/>
    <n v="200000"/>
    <s v="Quality Assurance"/>
    <n v="250"/>
    <n v="-2007"/>
    <n v="-0.66900000000000004"/>
    <s v="N/A"/>
    <s v="Medium (8-20 days)"/>
    <s v="Nourhan Tarek"/>
    <s v="On schedule"/>
  </r>
  <r>
    <s v="TSK-0107"/>
    <s v="PRJ-006"/>
    <x v="10"/>
    <s v="Develop vendor contract"/>
    <x v="1"/>
    <x v="7"/>
    <x v="3"/>
    <x v="2"/>
    <n v="10000"/>
    <n v="8274"/>
    <d v="2024-05-23T00:00:00"/>
    <d v="2024-05-30T00:00:00"/>
    <d v="2024-05-31T00:00:00"/>
    <n v="7"/>
    <n v="1"/>
    <s v="BlueWave Telecom"/>
    <s v="Mona Farid"/>
    <n v="120000"/>
    <s v="IT"/>
    <n v="220"/>
    <n v="-1726"/>
    <n v="-0.1726"/>
    <s v="Late"/>
    <s v="Short (&lt;=7 days)"/>
    <s v="Mona Farid"/>
    <s v="Delayed by 1 days"/>
  </r>
  <r>
    <s v="TSK-0313"/>
    <s v="PRJ-015"/>
    <x v="11"/>
    <s v="Plan vendor contract"/>
    <x v="3"/>
    <x v="0"/>
    <x v="0"/>
    <x v="5"/>
    <n v="2000"/>
    <n v="460"/>
    <d v="2024-06-27T00:00:00"/>
    <d v="2024-06-30T00:00:00"/>
    <m/>
    <n v="3"/>
    <n v="0"/>
    <s v="Internal"/>
    <s v="Nourhan Tarek"/>
    <n v="75000"/>
    <s v="HR"/>
    <n v="150"/>
    <n v="-1540"/>
    <n v="-0.77"/>
    <s v="N/A"/>
    <s v="Short (&lt;=7 days)"/>
    <s v="Nourhan Tarek"/>
    <s v="On schedule"/>
  </r>
  <r>
    <s v="TSK-0143"/>
    <s v="PRJ-007"/>
    <x v="13"/>
    <s v="Analyze backup procedure"/>
    <x v="0"/>
    <x v="20"/>
    <x v="0"/>
    <x v="5"/>
    <n v="6000"/>
    <n v="3942"/>
    <m/>
    <m/>
    <m/>
    <m/>
    <n v="0"/>
    <s v="Internal"/>
    <s v="Laila Samir"/>
    <n v="120000"/>
    <s v="Finance"/>
    <n v="250"/>
    <n v="-2058"/>
    <n v="-0.34300000000000003"/>
    <s v="N/A"/>
    <s v="Short (&lt;=7 days)"/>
    <s v="Laila Samir"/>
    <s v="On schedule"/>
  </r>
  <r>
    <s v="TSK-0093"/>
    <s v="PRJ-005"/>
    <x v="4"/>
    <s v="Procure vendor contract"/>
    <x v="3"/>
    <x v="7"/>
    <x v="0"/>
    <x v="2"/>
    <n v="3000"/>
    <n v="2553"/>
    <d v="2024-01-10T00:00:00"/>
    <d v="2024-01-15T00:00:00"/>
    <d v="2024-01-12T00:00:00"/>
    <n v="5"/>
    <n v="-3"/>
    <s v="Horizon Manufacturing"/>
    <s v="Ahmed Nabil"/>
    <n v="50000"/>
    <s v="IT"/>
    <n v="220"/>
    <n v="-447"/>
    <n v="-0.14899999999999999"/>
    <s v="On Time"/>
    <s v="Short (&lt;=7 days)"/>
    <s v="Ahmed Nabil"/>
    <s v="Early by 3 days"/>
  </r>
  <r>
    <s v="TSK-0016"/>
    <s v="PRJ-001"/>
    <x v="1"/>
    <s v="Analyze server configuration"/>
    <x v="6"/>
    <x v="3"/>
    <x v="1"/>
    <x v="1"/>
    <n v="4000"/>
    <n v="1469"/>
    <d v="2024-07-31T00:00:00"/>
    <d v="2024-08-15T00:00:00"/>
    <m/>
    <n v="15"/>
    <n v="0"/>
    <s v="Nile Corp"/>
    <s v="Mona Farid"/>
    <n v="75000"/>
    <s v="IT"/>
    <n v="280"/>
    <n v="-2531"/>
    <n v="-0.63275000000000003"/>
    <s v="N/A"/>
    <s v="Medium (8-20 days)"/>
    <s v="Mona Farid"/>
    <s v="On schedule"/>
  </r>
  <r>
    <s v="TSK-0164"/>
    <s v="PRJ-008"/>
    <x v="7"/>
    <s v="Design backup procedure"/>
    <x v="1"/>
    <x v="17"/>
    <x v="1"/>
    <x v="2"/>
    <n v="3000"/>
    <n v="2194"/>
    <d v="2024-06-20T00:00:00"/>
    <d v="2024-07-03T00:00:00"/>
    <d v="2024-06-30T00:00:00"/>
    <n v="13"/>
    <n v="-3"/>
    <s v="Pharos Holdings"/>
    <s v="Nourhan Tarek"/>
    <n v="300000"/>
    <s v="Procurement"/>
    <n v="180"/>
    <n v="-806"/>
    <n v="-0.26866666666666666"/>
    <s v="On Time"/>
    <s v="Medium (8-20 days)"/>
    <s v="Nourhan Tarek"/>
    <s v="Early by 3 days"/>
  </r>
  <r>
    <s v="TSK-0029"/>
    <s v="PRJ-002"/>
    <x v="9"/>
    <s v="Design customer feedback survey"/>
    <x v="2"/>
    <x v="11"/>
    <x v="1"/>
    <x v="4"/>
    <n v="1000"/>
    <n v="0"/>
    <m/>
    <m/>
    <m/>
    <m/>
    <n v="0"/>
    <s v="Delta Retail Group"/>
    <s v="Youssef Adel"/>
    <n v="150000"/>
    <s v="Operations"/>
    <n v="200"/>
    <n v="-1000"/>
    <n v="-1"/>
    <s v="N/A"/>
    <s v="Short (&lt;=7 days)"/>
    <s v="Youssef Adel"/>
    <s v="On schedule"/>
  </r>
  <r>
    <s v="TSK-0287"/>
    <s v="PRJ-014"/>
    <x v="3"/>
    <s v="Document dashboard"/>
    <x v="0"/>
    <x v="16"/>
    <x v="2"/>
    <x v="1"/>
    <n v="2000"/>
    <n v="1426"/>
    <d v="2024-04-22T00:00:00"/>
    <d v="2024-05-18T00:00:00"/>
    <m/>
    <n v="26"/>
    <n v="0"/>
    <s v="Orbit Media"/>
    <s v="Ahmed Nabil"/>
    <n v="300000"/>
    <s v="Procurement"/>
    <n v="180"/>
    <n v="-574"/>
    <n v="-0.28699999999999998"/>
    <s v="N/A"/>
    <s v="Long (&gt;20 days)"/>
    <s v="Ahmed Nabil"/>
    <s v="On schedule"/>
  </r>
  <r>
    <s v="TSK-0220"/>
    <s v="PRJ-011"/>
    <x v="8"/>
    <s v="Optimize user interface"/>
    <x v="7"/>
    <x v="14"/>
    <x v="1"/>
    <x v="7"/>
    <n v="3000"/>
    <n v="2904"/>
    <d v="2024-07-11T00:00:00"/>
    <d v="2024-07-25T00:00:00"/>
    <d v="2024-08-04T00:00:00"/>
    <n v="14"/>
    <n v="10"/>
    <s v="Giza Health Systems"/>
    <s v="Ahmed Nabil"/>
    <n v="200000"/>
    <s v="Marketing"/>
    <n v="300"/>
    <n v="-96"/>
    <n v="-3.2000000000000001E-2"/>
    <s v="N/A"/>
    <s v="Medium (8-20 days)"/>
    <s v="Ahmed Nabil"/>
    <s v="Delayed by 10 days"/>
  </r>
  <r>
    <s v="TSK-0168"/>
    <s v="PRJ-009"/>
    <x v="12"/>
    <s v="Approve supplier list"/>
    <x v="0"/>
    <x v="7"/>
    <x v="1"/>
    <x v="1"/>
    <n v="5000"/>
    <n v="2255"/>
    <d v="2024-02-07T00:00:00"/>
    <d v="2024-02-26T00:00:00"/>
    <m/>
    <n v="19"/>
    <n v="0"/>
    <s v="Suez Trading Co."/>
    <s v="Laila Samir"/>
    <n v="100000"/>
    <s v="IT"/>
    <n v="220"/>
    <n v="-2745"/>
    <n v="-0.54900000000000004"/>
    <s v="N/A"/>
    <s v="Medium (8-20 days)"/>
    <s v="Laila Samir"/>
    <s v="On schedule"/>
  </r>
  <r>
    <s v="TSK-0054"/>
    <s v="PRJ-003"/>
    <x v="2"/>
    <s v="Design user interface"/>
    <x v="2"/>
    <x v="17"/>
    <x v="1"/>
    <x v="2"/>
    <n v="1500"/>
    <n v="1516"/>
    <d v="2024-06-17T00:00:00"/>
    <d v="2024-06-23T00:00:00"/>
    <d v="2024-06-25T00:00:00"/>
    <n v="6"/>
    <n v="2"/>
    <s v="Alexandria Logistics"/>
    <s v="Ahmed Nabil"/>
    <n v="100000"/>
    <s v="Procurement"/>
    <n v="180"/>
    <n v="16"/>
    <n v="1.0666666666666666E-2"/>
    <s v="Late"/>
    <s v="Short (&lt;=7 days)"/>
    <s v="Ahmed Nabil"/>
    <s v="Delayed by 2 days"/>
  </r>
  <r>
    <s v="TSK-0004"/>
    <s v="PRJ-001"/>
    <x v="1"/>
    <s v="Review user interface"/>
    <x v="3"/>
    <x v="21"/>
    <x v="2"/>
    <x v="1"/>
    <n v="5000"/>
    <n v="2401"/>
    <d v="2024-09-10T00:00:00"/>
    <d v="2024-09-26T00:00:00"/>
    <m/>
    <n v="16"/>
    <n v="0"/>
    <s v="Nile Corp"/>
    <s v="Mona Farid"/>
    <n v="75000"/>
    <s v="Procurement"/>
    <n v="200"/>
    <n v="-2599"/>
    <n v="-0.51980000000000004"/>
    <s v="N/A"/>
    <s v="Medium (8-20 days)"/>
    <s v="Mona Farid"/>
    <s v="On schedule"/>
  </r>
  <r>
    <s v="TSK-0019"/>
    <s v="PRJ-001"/>
    <x v="1"/>
    <s v="Audit onboarding process"/>
    <x v="0"/>
    <x v="8"/>
    <x v="2"/>
    <x v="1"/>
    <n v="5000"/>
    <n v="3032"/>
    <d v="2024-07-31T00:00:00"/>
    <d v="2024-08-16T00:00:00"/>
    <m/>
    <n v="16"/>
    <n v="0"/>
    <s v="Nile Corp"/>
    <s v="Mona Farid"/>
    <n v="75000"/>
    <s v="Operations"/>
    <n v="180"/>
    <n v="-1968"/>
    <n v="-0.39360000000000001"/>
    <s v="N/A"/>
    <s v="Medium (8-20 days)"/>
    <s v="Mona Farid"/>
    <s v="On schedule"/>
  </r>
  <r>
    <s v="TSK-0290"/>
    <s v="PRJ-014"/>
    <x v="3"/>
    <s v="Plan budget report"/>
    <x v="1"/>
    <x v="15"/>
    <x v="2"/>
    <x v="1"/>
    <n v="1000"/>
    <n v="416"/>
    <d v="2024-02-24T00:00:00"/>
    <d v="2024-03-19T00:00:00"/>
    <m/>
    <n v="24"/>
    <n v="0"/>
    <s v="Orbit Media"/>
    <s v="Ahmed Nabil"/>
    <n v="300000"/>
    <s v="Procurement"/>
    <n v="250"/>
    <n v="-584"/>
    <n v="-0.58399999999999996"/>
    <s v="N/A"/>
    <s v="Long (&gt;20 days)"/>
    <s v="Ahmed Nabil"/>
    <s v="On schedule"/>
  </r>
  <r>
    <s v="TSK-0156"/>
    <s v="PRJ-008"/>
    <x v="7"/>
    <s v="Test training material"/>
    <x v="2"/>
    <x v="14"/>
    <x v="2"/>
    <x v="0"/>
    <n v="3000"/>
    <n v="2732"/>
    <m/>
    <m/>
    <m/>
    <m/>
    <n v="0"/>
    <s v="Pharos Holdings"/>
    <s v="Nourhan Tarek"/>
    <n v="300000"/>
    <s v="Marketing"/>
    <n v="300"/>
    <n v="-268"/>
    <n v="-8.9333333333333334E-2"/>
    <s v="N/A"/>
    <s v="Short (&lt;=7 days)"/>
    <s v="Nourhan Tarek"/>
    <s v="On schedule"/>
  </r>
  <r>
    <s v="TSK-0057"/>
    <s v="PRJ-003"/>
    <x v="2"/>
    <s v="Document onboarding process"/>
    <x v="7"/>
    <x v="14"/>
    <x v="2"/>
    <x v="2"/>
    <n v="2500"/>
    <n v="3499"/>
    <d v="2024-06-22T00:00:00"/>
    <d v="2024-07-22T00:00:00"/>
    <d v="2024-07-21T00:00:00"/>
    <n v="30"/>
    <n v="-1"/>
    <s v="Alexandria Logistics"/>
    <s v="Ahmed Nabil"/>
    <n v="100000"/>
    <s v="Marketing"/>
    <n v="300"/>
    <n v="999"/>
    <n v="0.39960000000000001"/>
    <s v="On Time"/>
    <s v="Long (&gt;20 days)"/>
    <s v="Ahmed Nabil"/>
    <s v="Early by 1 days"/>
  </r>
  <r>
    <s v="TSK-0094"/>
    <s v="PRJ-005"/>
    <x v="4"/>
    <s v="Document network infrastructure"/>
    <x v="2"/>
    <x v="22"/>
    <x v="0"/>
    <x v="5"/>
    <n v="6000"/>
    <n v="3348"/>
    <d v="2024-02-06T00:00:00"/>
    <d v="2024-03-06T00:00:00"/>
    <m/>
    <n v="29"/>
    <n v="0"/>
    <s v="Horizon Manufacturing"/>
    <s v="Ahmed Nabil"/>
    <n v="50000"/>
    <s v="IT"/>
    <n v="150"/>
    <n v="-2652"/>
    <n v="-0.442"/>
    <s v="N/A"/>
    <s v="Long (&gt;20 days)"/>
    <s v="Ahmed Nabil"/>
    <s v="On schedule"/>
  </r>
  <r>
    <s v="TSK-0013"/>
    <s v="PRJ-001"/>
    <x v="1"/>
    <s v="Develop quality checklist"/>
    <x v="0"/>
    <x v="17"/>
    <x v="2"/>
    <x v="3"/>
    <n v="1500"/>
    <n v="2042"/>
    <m/>
    <m/>
    <m/>
    <m/>
    <n v="0"/>
    <s v="Nile Corp"/>
    <s v="Mona Farid"/>
    <n v="75000"/>
    <s v="Procurement"/>
    <n v="180"/>
    <n v="542"/>
    <n v="0.36133333333333334"/>
    <s v="N/A"/>
    <s v="Short (&lt;=7 days)"/>
    <s v="Mona Farid"/>
    <s v="On schedule"/>
  </r>
  <r>
    <s v="TSK-0066"/>
    <s v="PRJ-003"/>
    <x v="2"/>
    <s v="Review database schema"/>
    <x v="7"/>
    <x v="12"/>
    <x v="0"/>
    <x v="2"/>
    <n v="2000"/>
    <n v="2156"/>
    <m/>
    <m/>
    <m/>
    <m/>
    <n v="0"/>
    <s v="Alexandria Logistics"/>
    <s v="Ahmed Nabil"/>
    <n v="100000"/>
    <s v="Quality Assurance"/>
    <n v="250"/>
    <n v="156"/>
    <n v="7.8E-2"/>
    <s v="On Time"/>
    <s v="Short (&lt;=7 days)"/>
    <s v="Ahmed Nabil"/>
    <s v="On schedule"/>
  </r>
  <r>
    <s v="TSK-0269"/>
    <s v="PRJ-013"/>
    <x v="14"/>
    <s v="Deploy training material"/>
    <x v="2"/>
    <x v="15"/>
    <x v="2"/>
    <x v="2"/>
    <n v="4000"/>
    <n v="3393"/>
    <d v="2024-06-18T00:00:00"/>
    <d v="2024-06-27T00:00:00"/>
    <d v="2024-06-29T00:00:00"/>
    <n v="9"/>
    <n v="2"/>
    <s v="Internal"/>
    <s v="Nourhan Tarek"/>
    <n v="200000"/>
    <s v="Procurement"/>
    <n v="250"/>
    <n v="-607"/>
    <n v="-0.15175"/>
    <s v="Late"/>
    <s v="Medium (8-20 days)"/>
    <s v="Nourhan Tarek"/>
    <s v="Delayed by 2 days"/>
  </r>
  <r>
    <s v="TSK-0180"/>
    <s v="PRJ-009"/>
    <x v="12"/>
    <s v="Review supplier list"/>
    <x v="2"/>
    <x v="17"/>
    <x v="1"/>
    <x v="1"/>
    <n v="6000"/>
    <n v="1233"/>
    <d v="2024-05-13T00:00:00"/>
    <d v="2024-06-06T00:00:00"/>
    <m/>
    <n v="24"/>
    <n v="0"/>
    <s v="Suez Trading Co."/>
    <s v="Laila Samir"/>
    <n v="100000"/>
    <s v="Procurement"/>
    <n v="180"/>
    <n v="-4767"/>
    <n v="-0.79449999999999998"/>
    <s v="N/A"/>
    <s v="Long (&gt;20 days)"/>
    <s v="Laila Samir"/>
    <s v="On schedule"/>
  </r>
  <r>
    <s v="TSK-0160"/>
    <s v="PRJ-008"/>
    <x v="7"/>
    <s v="Approve budget report"/>
    <x v="6"/>
    <x v="7"/>
    <x v="0"/>
    <x v="2"/>
    <n v="0"/>
    <n v="2192"/>
    <d v="2024-04-01T00:00:00"/>
    <d v="2024-04-24T00:00:00"/>
    <d v="2024-04-23T00:00:00"/>
    <n v="23"/>
    <n v="-1"/>
    <s v="Pharos Holdings"/>
    <s v="Nourhan Tarek"/>
    <n v="300000"/>
    <s v="IT"/>
    <n v="220"/>
    <n v="2192"/>
    <n v="0"/>
    <s v="On Time"/>
    <s v="Long (&gt;20 days)"/>
    <s v="Nourhan Tarek"/>
    <s v="Early by 1 days"/>
  </r>
  <r>
    <s v="TSK-0254"/>
    <s v="PRJ-013"/>
    <x v="14"/>
    <s v="Configure security policy"/>
    <x v="3"/>
    <x v="17"/>
    <x v="2"/>
    <x v="6"/>
    <n v="4000"/>
    <n v="0"/>
    <d v="2024-08-19T00:00:00"/>
    <d v="2024-09-18T00:00:00"/>
    <m/>
    <n v="30"/>
    <n v="0"/>
    <s v="Internal"/>
    <s v="Nourhan Tarek"/>
    <n v="200000"/>
    <s v="Procurement"/>
    <n v="180"/>
    <n v="-4000"/>
    <n v="-1"/>
    <s v="N/A"/>
    <s v="Long (&gt;20 days)"/>
    <s v="Nourhan Tarek"/>
    <s v="On schedule"/>
  </r>
  <r>
    <s v="TSK-0126"/>
    <s v="PRJ-007"/>
    <x v="13"/>
    <s v="Develop database schema"/>
    <x v="5"/>
    <x v="8"/>
    <x v="1"/>
    <x v="1"/>
    <n v="5000"/>
    <n v="3364"/>
    <d v="2024-07-07T00:00:00"/>
    <d v="2024-07-11T00:00:00"/>
    <m/>
    <n v="4"/>
    <n v="0"/>
    <s v="Internal"/>
    <s v="Laila Samir"/>
    <n v="120000"/>
    <s v="Operations"/>
    <n v="180"/>
    <n v="-1636"/>
    <n v="-0.32719999999999999"/>
    <s v="N/A"/>
    <s v="Short (&lt;=7 days)"/>
    <s v="Laila Samir"/>
    <s v="On schedule"/>
  </r>
  <r>
    <s v="TSK-0239"/>
    <s v="PRJ-012"/>
    <x v="6"/>
    <s v="Procure vendor contract"/>
    <x v="5"/>
    <x v="9"/>
    <x v="0"/>
    <x v="1"/>
    <n v="8000"/>
    <n v="2896"/>
    <m/>
    <m/>
    <m/>
    <m/>
    <n v="0"/>
    <s v="Red Sea Tourism"/>
    <s v="Ahmed Nabil"/>
    <n v="250000"/>
    <s v="Procurement"/>
    <n v="150"/>
    <n v="-5104"/>
    <n v="-0.63800000000000001"/>
    <s v="N/A"/>
    <s v="Short (&lt;=7 days)"/>
    <s v="Ahmed Nabil"/>
    <s v="On schedule"/>
  </r>
  <r>
    <s v="TSK-0100"/>
    <s v="PRJ-005"/>
    <x v="4"/>
    <s v="Plan dashboard"/>
    <x v="6"/>
    <x v="17"/>
    <x v="1"/>
    <x v="2"/>
    <n v="3000"/>
    <n v="3036"/>
    <d v="2024-04-01T00:00:00"/>
    <d v="2024-04-25T00:00:00"/>
    <d v="2024-04-24T00:00:00"/>
    <n v="24"/>
    <n v="-1"/>
    <s v="Horizon Manufacturing"/>
    <s v="Ahmed Nabil"/>
    <n v="50000"/>
    <s v="Procurement"/>
    <n v="180"/>
    <n v="36"/>
    <n v="1.2E-2"/>
    <s v="On Time"/>
    <s v="Long (&gt;20 days)"/>
    <s v="Ahmed Nabil"/>
    <s v="Early by 1 days"/>
  </r>
  <r>
    <s v="TSK-0215"/>
    <s v="PRJ-011"/>
    <x v="8"/>
    <s v="Analyze training material"/>
    <x v="3"/>
    <x v="6"/>
    <x v="0"/>
    <x v="1"/>
    <n v="8000"/>
    <n v="3460"/>
    <d v="2024-05-02T00:00:00"/>
    <d v="2024-05-07T00:00:00"/>
    <m/>
    <n v="5"/>
    <n v="0"/>
    <s v="Giza Health Systems"/>
    <s v="Ahmed Nabil"/>
    <n v="200000"/>
    <s v="Finance"/>
    <n v="280"/>
    <n v="-4540"/>
    <n v="-0.5675"/>
    <s v="N/A"/>
    <s v="Short (&lt;=7 days)"/>
    <s v="Ahmed Nabil"/>
    <s v="On schedule"/>
  </r>
  <r>
    <s v="TSK-0147"/>
    <s v="PRJ-008"/>
    <x v="7"/>
    <s v="Review vendor contract"/>
    <x v="3"/>
    <x v="12"/>
    <x v="2"/>
    <x v="4"/>
    <n v="5000"/>
    <n v="0"/>
    <m/>
    <m/>
    <m/>
    <m/>
    <n v="0"/>
    <s v="Pharos Holdings"/>
    <s v="Nourhan Tarek"/>
    <n v="300000"/>
    <s v="Quality Assurance"/>
    <n v="250"/>
    <n v="-5000"/>
    <n v="-1"/>
    <s v="N/A"/>
    <s v="Short (&lt;=7 days)"/>
    <s v="Nourhan Tarek"/>
    <s v="On schedule"/>
  </r>
  <r>
    <s v="TSK-0232"/>
    <s v="PRJ-012"/>
    <x v="6"/>
    <s v="Audit supplier list"/>
    <x v="3"/>
    <x v="19"/>
    <x v="2"/>
    <x v="3"/>
    <n v="1500"/>
    <n v="1961"/>
    <d v="2024-05-23T00:00:00"/>
    <d v="2024-06-01T00:00:00"/>
    <d v="2024-06-02T00:00:00"/>
    <n v="9"/>
    <n v="1"/>
    <s v="Red Sea Tourism"/>
    <s v="Ahmed Nabil"/>
    <n v="250000"/>
    <s v="Finance"/>
    <n v="220"/>
    <n v="461"/>
    <n v="0.30733333333333335"/>
    <s v="N/A"/>
    <s v="Medium (8-20 days)"/>
    <s v="Ahmed Nabil"/>
    <s v="Delayed by 1 days"/>
  </r>
  <r>
    <s v="TSK-0026"/>
    <s v="PRJ-002"/>
    <x v="9"/>
    <s v="Document API integration"/>
    <x v="6"/>
    <x v="4"/>
    <x v="0"/>
    <x v="7"/>
    <n v="5000"/>
    <n v="6487"/>
    <d v="2024-07-09T00:00:00"/>
    <d v="2024-07-23T00:00:00"/>
    <d v="2024-07-29T00:00:00"/>
    <n v="14"/>
    <n v="6"/>
    <s v="Delta Retail Group"/>
    <s v="Youssef Adel"/>
    <n v="150000"/>
    <s v="Quality Assurance"/>
    <n v="200"/>
    <n v="1487"/>
    <n v="0.2974"/>
    <s v="N/A"/>
    <s v="Medium (8-20 days)"/>
    <s v="Youssef Adel"/>
    <s v="Delayed by 6 days"/>
  </r>
  <r>
    <s v="TSK-0050"/>
    <s v="PRJ-003"/>
    <x v="2"/>
    <s v="Deploy dashboard"/>
    <x v="3"/>
    <x v="16"/>
    <x v="0"/>
    <x v="7"/>
    <n v="10000"/>
    <n v="11059"/>
    <d v="2024-05-09T00:00:00"/>
    <d v="2024-06-04T00:00:00"/>
    <d v="2024-06-10T00:00:00"/>
    <n v="26"/>
    <n v="6"/>
    <s v="Alexandria Logistics"/>
    <s v="Ahmed Nabil"/>
    <n v="100000"/>
    <s v="Procurement"/>
    <n v="180"/>
    <n v="1059"/>
    <n v="0.10589999999999999"/>
    <s v="N/A"/>
    <s v="Long (&gt;20 days)"/>
    <s v="Ahmed Nabil"/>
    <s v="Delayed by 6 days"/>
  </r>
  <r>
    <s v="TSK-0028"/>
    <s v="PRJ-002"/>
    <x v="9"/>
    <s v="Train users on supplier list"/>
    <x v="3"/>
    <x v="24"/>
    <x v="0"/>
    <x v="4"/>
    <n v="4000"/>
    <n v="0"/>
    <d v="2024-11-01T00:00:00"/>
    <d v="2024-11-14T00:00:00"/>
    <m/>
    <n v="13"/>
    <n v="0"/>
    <s v="Delta Retail Group"/>
    <s v="Youssef Adel"/>
    <n v="150000"/>
    <s v="Quality Assurance"/>
    <n v="250"/>
    <n v="-4000"/>
    <n v="-1"/>
    <s v="N/A"/>
    <s v="Medium (8-20 days)"/>
    <s v="Youssef Adel"/>
    <s v="On schedule"/>
  </r>
  <r>
    <s v="TSK-0052"/>
    <s v="PRJ-003"/>
    <x v="2"/>
    <s v="Deploy supplier list"/>
    <x v="5"/>
    <x v="2"/>
    <x v="1"/>
    <x v="2"/>
    <n v="1500"/>
    <n v="1602"/>
    <d v="2024-03-23T00:00:00"/>
    <d v="2024-04-22T00:00:00"/>
    <d v="2024-04-22T00:00:00"/>
    <n v="30"/>
    <n v="0"/>
    <s v="Alexandria Logistics"/>
    <s v="Ahmed Nabil"/>
    <n v="100000"/>
    <s v="Marketing"/>
    <n v="280"/>
    <n v="102"/>
    <n v="6.8000000000000005E-2"/>
    <s v="On Time"/>
    <s v="Long (&gt;20 days)"/>
    <s v="Ahmed Nabil"/>
    <s v="On schedule"/>
  </r>
  <r>
    <s v="TSK-0009"/>
    <s v="PRJ-001"/>
    <x v="1"/>
    <s v="Audit dashboard"/>
    <x v="7"/>
    <x v="19"/>
    <x v="2"/>
    <x v="2"/>
    <n v="4000"/>
    <n v="3468"/>
    <m/>
    <m/>
    <m/>
    <m/>
    <n v="0"/>
    <s v="Nile Corp"/>
    <s v="Mona Farid"/>
    <n v="75000"/>
    <s v="Finance"/>
    <n v="220"/>
    <n v="-532"/>
    <n v="-0.13300000000000001"/>
    <s v="On Time"/>
    <s v="Short (&lt;=7 days)"/>
    <s v="Mona Farid"/>
    <s v="On schedule"/>
  </r>
  <r>
    <s v="TSK-0224"/>
    <s v="PRJ-011"/>
    <x v="8"/>
    <s v="Review database schema"/>
    <x v="6"/>
    <x v="26"/>
    <x v="1"/>
    <x v="1"/>
    <n v="4000"/>
    <n v="2776"/>
    <d v="2024-04-15T00:00:00"/>
    <d v="2024-04-26T00:00:00"/>
    <m/>
    <n v="11"/>
    <n v="0"/>
    <s v="Giza Health Systems"/>
    <s v="Ahmed Nabil"/>
    <n v="200000"/>
    <s v="HR"/>
    <n v="180"/>
    <n v="-1224"/>
    <n v="-0.30599999999999999"/>
    <s v="N/A"/>
    <s v="Medium (8-20 days)"/>
    <s v="Ahmed Nabil"/>
    <s v="On schedule"/>
  </r>
  <r>
    <s v="TSK-0312"/>
    <s v="PRJ-015"/>
    <x v="11"/>
    <s v="Test training material"/>
    <x v="1"/>
    <x v="25"/>
    <x v="2"/>
    <x v="3"/>
    <n v="8000"/>
    <n v="10129"/>
    <m/>
    <m/>
    <m/>
    <m/>
    <n v="0"/>
    <s v="Internal"/>
    <s v="Nourhan Tarek"/>
    <n v="75000"/>
    <s v="Marketing"/>
    <n v="220"/>
    <n v="2129"/>
    <n v="0.266125"/>
    <s v="N/A"/>
    <s v="Short (&lt;=7 days)"/>
    <s v="Nourhan Tarek"/>
    <s v="On schedule"/>
  </r>
  <r>
    <s v="TSK-0034"/>
    <s v="PRJ-002"/>
    <x v="9"/>
    <s v="Design server configuration"/>
    <x v="2"/>
    <x v="9"/>
    <x v="0"/>
    <x v="0"/>
    <n v="4000"/>
    <n v="3583"/>
    <d v="2024-10-06T00:00:00"/>
    <d v="2024-11-03T00:00:00"/>
    <d v="2024-11-08T00:00:00"/>
    <n v="28"/>
    <n v="5"/>
    <s v="Delta Retail Group"/>
    <s v="Youssef Adel"/>
    <n v="150000"/>
    <s v="Procurement"/>
    <n v="150"/>
    <n v="-417"/>
    <n v="-0.10425"/>
    <s v="N/A"/>
    <s v="Long (&gt;20 days)"/>
    <s v="Youssef Adel"/>
    <s v="Delayed by 5 days"/>
  </r>
  <r>
    <s v="TSK-0214"/>
    <s v="PRJ-011"/>
    <x v="8"/>
    <s v="Configure training material"/>
    <x v="3"/>
    <x v="5"/>
    <x v="1"/>
    <x v="1"/>
    <n v="10000"/>
    <n v="4882"/>
    <d v="2024-03-18T00:00:00"/>
    <d v="2024-03-30T00:00:00"/>
    <m/>
    <n v="12"/>
    <n v="0"/>
    <s v="Giza Health Systems"/>
    <s v="Ahmed Nabil"/>
    <n v="200000"/>
    <s v="IT"/>
    <n v="180"/>
    <n v="-5118"/>
    <n v="-0.51180000000000003"/>
    <s v="N/A"/>
    <s v="Medium (8-20 days)"/>
    <s v="Ahmed Nabil"/>
    <s v="On schedule"/>
  </r>
  <r>
    <s v="TSK-0012"/>
    <s v="PRJ-001"/>
    <x v="1"/>
    <s v="Develop database schema"/>
    <x v="0"/>
    <x v="4"/>
    <x v="2"/>
    <x v="2"/>
    <n v="1500"/>
    <n v="1716"/>
    <d v="2024-08-15T00:00:00"/>
    <d v="2024-09-14T00:00:00"/>
    <d v="2024-09-11T00:00:00"/>
    <n v="30"/>
    <n v="-3"/>
    <s v="Nile Corp"/>
    <s v="Mona Farid"/>
    <n v="75000"/>
    <s v="Quality Assurance"/>
    <n v="200"/>
    <n v="216"/>
    <n v="0.14399999999999999"/>
    <s v="On Time"/>
    <s v="Long (&gt;20 days)"/>
    <s v="Mona Farid"/>
    <s v="Early by 3 days"/>
  </r>
  <r>
    <s v="TSK-0018"/>
    <s v="PRJ-001"/>
    <x v="1"/>
    <s v="Migrate vendor contract"/>
    <x v="7"/>
    <x v="20"/>
    <x v="3"/>
    <x v="1"/>
    <n v="1500"/>
    <n v="1154"/>
    <d v="2024-09-13T00:00:00"/>
    <d v="2024-09-29T00:00:00"/>
    <m/>
    <n v="16"/>
    <n v="0"/>
    <s v="Nile Corp"/>
    <s v="Mona Farid"/>
    <n v="75000"/>
    <s v="Finance"/>
    <n v="250"/>
    <n v="-346"/>
    <n v="-0.23066666666666666"/>
    <s v="N/A"/>
    <s v="Medium (8-20 days)"/>
    <s v="Mona Farid"/>
    <s v="On schedule"/>
  </r>
  <r>
    <s v="TSK-0169"/>
    <s v="PRJ-009"/>
    <x v="12"/>
    <s v="Develop quality checklist"/>
    <x v="5"/>
    <x v="2"/>
    <x v="2"/>
    <x v="0"/>
    <n v="2000"/>
    <n v="1840"/>
    <d v="2024-05-06T00:00:00"/>
    <d v="2024-05-18T00:00:00"/>
    <d v="2024-05-19T00:00:00"/>
    <n v="12"/>
    <n v="1"/>
    <s v="Suez Trading Co."/>
    <s v="Laila Samir"/>
    <n v="100000"/>
    <s v="Marketing"/>
    <n v="280"/>
    <n v="-160"/>
    <n v="-0.08"/>
    <s v="N/A"/>
    <s v="Medium (8-20 days)"/>
    <s v="Laila Samir"/>
    <s v="Delayed by 1 days"/>
  </r>
  <r>
    <s v="TSK-0134"/>
    <s v="PRJ-007"/>
    <x v="13"/>
    <s v="Optimize user interface"/>
    <x v="6"/>
    <x v="1"/>
    <x v="1"/>
    <x v="3"/>
    <n v="1500"/>
    <n v="1618"/>
    <d v="2024-09-08T00:00:00"/>
    <d v="2024-09-22T00:00:00"/>
    <d v="2024-09-24T00:00:00"/>
    <n v="14"/>
    <n v="2"/>
    <s v="Internal"/>
    <s v="Laila Samir"/>
    <n v="120000"/>
    <s v="IT"/>
    <n v="220"/>
    <n v="118"/>
    <n v="7.8666666666666663E-2"/>
    <s v="N/A"/>
    <s v="Medium (8-20 days)"/>
    <s v="Laila Samir"/>
    <s v="Delayed by 2 days"/>
  </r>
  <r>
    <s v="TSK-0025"/>
    <s v="PRJ-002"/>
    <x v="9"/>
    <s v="Develop security policy"/>
    <x v="1"/>
    <x v="2"/>
    <x v="2"/>
    <x v="1"/>
    <n v="5000"/>
    <n v="1993"/>
    <d v="2024-07-24T00:00:00"/>
    <d v="2024-08-09T00:00:00"/>
    <m/>
    <n v="16"/>
    <n v="0"/>
    <s v="Delta Retail Group"/>
    <s v="Youssef Adel"/>
    <n v="150000"/>
    <s v="Marketing"/>
    <n v="280"/>
    <n v="-3007"/>
    <n v="-0.60140000000000005"/>
    <s v="N/A"/>
    <s v="Medium (8-20 days)"/>
    <s v="Youssef Adel"/>
    <s v="On schedule"/>
  </r>
  <r>
    <s v="TSK-0246"/>
    <s v="PRJ-012"/>
    <x v="6"/>
    <s v="Deploy employee handbook"/>
    <x v="6"/>
    <x v="16"/>
    <x v="2"/>
    <x v="0"/>
    <n v="6000"/>
    <n v="5652"/>
    <d v="2024-05-13T00:00:00"/>
    <d v="2024-06-06T00:00:00"/>
    <d v="2024-06-10T00:00:00"/>
    <n v="24"/>
    <n v="4"/>
    <s v="Red Sea Tourism"/>
    <s v="Ahmed Nabil"/>
    <n v="250000"/>
    <s v="Procurement"/>
    <n v="180"/>
    <n v="-348"/>
    <n v="-5.8000000000000003E-2"/>
    <s v="N/A"/>
    <s v="Long (&gt;20 days)"/>
    <s v="Ahmed Nabil"/>
    <s v="Delayed by 4 days"/>
  </r>
  <r>
    <s v="TSK-0258"/>
    <s v="PRJ-013"/>
    <x v="14"/>
    <s v="Train users on security policy"/>
    <x v="6"/>
    <x v="1"/>
    <x v="0"/>
    <x v="2"/>
    <n v="4000"/>
    <n v="5504"/>
    <d v="2024-07-16T00:00:00"/>
    <d v="2024-08-13T00:00:00"/>
    <d v="2024-08-15T00:00:00"/>
    <n v="28"/>
    <n v="2"/>
    <s v="Internal"/>
    <s v="Nourhan Tarek"/>
    <n v="200000"/>
    <s v="IT"/>
    <n v="220"/>
    <n v="1504"/>
    <n v="0.376"/>
    <s v="Late"/>
    <s v="Long (&gt;20 days)"/>
    <s v="Nourhan Tarek"/>
    <s v="Delayed by 2 days"/>
  </r>
  <r>
    <s v="TSK-0105"/>
    <s v="PRJ-005"/>
    <x v="4"/>
    <s v="Review security policy"/>
    <x v="0"/>
    <x v="26"/>
    <x v="2"/>
    <x v="3"/>
    <n v="2000"/>
    <n v="2511"/>
    <m/>
    <m/>
    <m/>
    <m/>
    <n v="0"/>
    <s v="Horizon Manufacturing"/>
    <s v="Ahmed Nabil"/>
    <n v="50000"/>
    <s v="HR"/>
    <n v="180"/>
    <n v="511"/>
    <n v="0.2555"/>
    <s v="N/A"/>
    <s v="Short (&lt;=7 days)"/>
    <s v="Ahmed Nabil"/>
    <s v="On schedule"/>
  </r>
  <r>
    <s v="TSK-0274"/>
    <s v="PRJ-014"/>
    <x v="3"/>
    <s v="Audit network infrastructure"/>
    <x v="6"/>
    <x v="11"/>
    <x v="1"/>
    <x v="2"/>
    <n v="2000"/>
    <n v="1912"/>
    <d v="2024-05-30T00:00:00"/>
    <d v="2024-06-19T00:00:00"/>
    <d v="2024-06-19T00:00:00"/>
    <n v="20"/>
    <n v="0"/>
    <s v="Orbit Media"/>
    <s v="Ahmed Nabil"/>
    <n v="300000"/>
    <s v="Operations"/>
    <n v="200"/>
    <n v="-88"/>
    <n v="-4.3999999999999997E-2"/>
    <s v="On Time"/>
    <s v="Medium (8-20 days)"/>
    <s v="Ahmed Nabil"/>
    <s v="On schedule"/>
  </r>
  <r>
    <s v="TSK-0073"/>
    <s v="PRJ-004"/>
    <x v="0"/>
    <s v="Design customer feedback survey"/>
    <x v="2"/>
    <x v="4"/>
    <x v="1"/>
    <x v="2"/>
    <n v="8000"/>
    <n v="11057"/>
    <d v="2024-11-15T00:00:00"/>
    <d v="2024-11-25T00:00:00"/>
    <d v="2024-11-25T00:00:00"/>
    <n v="10"/>
    <n v="0"/>
    <s v="Cairo Financial Services"/>
    <s v="Laila Samir"/>
    <n v="75000"/>
    <s v="Quality Assurance"/>
    <n v="200"/>
    <n v="3057"/>
    <n v="0.38212499999999999"/>
    <s v="On Time"/>
    <s v="Medium (8-20 days)"/>
    <s v="Laila Samir"/>
    <s v="On schedule"/>
  </r>
  <r>
    <s v="TSK-0157"/>
    <s v="PRJ-008"/>
    <x v="7"/>
    <s v="Migrate customer feedback survey"/>
    <x v="3"/>
    <x v="22"/>
    <x v="2"/>
    <x v="1"/>
    <n v="1500"/>
    <n v="422"/>
    <d v="2024-04-16T00:00:00"/>
    <d v="2024-05-03T00:00:00"/>
    <m/>
    <n v="17"/>
    <n v="0"/>
    <s v="Pharos Holdings"/>
    <s v="Nourhan Tarek"/>
    <n v="300000"/>
    <s v="IT"/>
    <n v="150"/>
    <n v="-1078"/>
    <n v="-0.71866666666666668"/>
    <s v="N/A"/>
    <s v="Medium (8-20 days)"/>
    <s v="Nourhan Tarek"/>
    <s v="On schedule"/>
  </r>
  <r>
    <s v="TSK-0040"/>
    <s v="PRJ-002"/>
    <x v="9"/>
    <s v="Audit warehouse layout"/>
    <x v="1"/>
    <x v="23"/>
    <x v="2"/>
    <x v="2"/>
    <n v="6000"/>
    <n v="5449"/>
    <d v="2024-11-18T00:00:00"/>
    <d v="2024-12-03T00:00:00"/>
    <d v="2024-12-03T00:00:00"/>
    <n v="15"/>
    <n v="0"/>
    <s v="Delta Retail Group"/>
    <s v="Youssef Adel"/>
    <n v="150000"/>
    <s v="HR"/>
    <n v="300"/>
    <n v="-551"/>
    <n v="-9.1833333333333336E-2"/>
    <s v="On Time"/>
    <s v="Medium (8-20 days)"/>
    <s v="Youssef Adel"/>
    <s v="On schedule"/>
  </r>
  <r>
    <s v="TSK-0099"/>
    <s v="PRJ-005"/>
    <x v="4"/>
    <s v="Test supplier list"/>
    <x v="3"/>
    <x v="26"/>
    <x v="0"/>
    <x v="0"/>
    <n v="4000"/>
    <n v="5388"/>
    <d v="2024-05-15T00:00:00"/>
    <d v="2024-06-09T00:00:00"/>
    <d v="2024-06-21T00:00:00"/>
    <n v="25"/>
    <n v="12"/>
    <s v="Horizon Manufacturing"/>
    <s v="Ahmed Nabil"/>
    <n v="50000"/>
    <s v="HR"/>
    <n v="180"/>
    <n v="1388"/>
    <n v="0.34699999999999998"/>
    <s v="N/A"/>
    <s v="Long (&gt;20 days)"/>
    <s v="Ahmed Nabil"/>
    <s v="Delayed by 12 days"/>
  </r>
  <r>
    <s v="TSK-0197"/>
    <s v="PRJ-010"/>
    <x v="5"/>
    <s v="Plan hardware setup"/>
    <x v="0"/>
    <x v="5"/>
    <x v="1"/>
    <x v="4"/>
    <n v="3000"/>
    <n v="0"/>
    <d v="2024-06-14T00:00:00"/>
    <d v="2024-07-01T00:00:00"/>
    <m/>
    <n v="17"/>
    <n v="0"/>
    <s v="Internal"/>
    <s v="Sara Hassan"/>
    <n v="150000"/>
    <s v="IT"/>
    <n v="180"/>
    <n v="-3000"/>
    <n v="-1"/>
    <s v="N/A"/>
    <s v="Medium (8-20 days)"/>
    <s v="Sara Hassan"/>
    <s v="On schedule"/>
  </r>
  <r>
    <s v="TSK-0311"/>
    <s v="PRJ-015"/>
    <x v="11"/>
    <s v="Approve inventory system"/>
    <x v="6"/>
    <x v="15"/>
    <x v="0"/>
    <x v="2"/>
    <n v="2000"/>
    <n v="2401"/>
    <d v="2024-07-26T00:00:00"/>
    <d v="2024-08-10T00:00:00"/>
    <d v="2024-08-08T00:00:00"/>
    <n v="15"/>
    <n v="-2"/>
    <s v="Internal"/>
    <s v="Nourhan Tarek"/>
    <n v="75000"/>
    <s v="Procurement"/>
    <n v="250"/>
    <n v="401"/>
    <n v="0.20050000000000001"/>
    <s v="On Time"/>
    <s v="Medium (8-20 days)"/>
    <s v="Nourhan Tarek"/>
    <s v="Early by 2 days"/>
  </r>
  <r>
    <s v="TSK-0175"/>
    <s v="PRJ-009"/>
    <x v="12"/>
    <s v="Optimize network infrastructure"/>
    <x v="2"/>
    <x v="16"/>
    <x v="2"/>
    <x v="0"/>
    <n v="2500"/>
    <n v="3083"/>
    <d v="2024-03-05T00:00:00"/>
    <d v="2024-03-12T00:00:00"/>
    <d v="2024-03-19T00:00:00"/>
    <n v="7"/>
    <n v="7"/>
    <s v="Suez Trading Co."/>
    <s v="Laila Samir"/>
    <n v="100000"/>
    <s v="Procurement"/>
    <n v="180"/>
    <n v="583"/>
    <n v="0.23319999999999999"/>
    <s v="N/A"/>
    <s v="Short (&lt;=7 days)"/>
    <s v="Laila Samir"/>
    <s v="Delayed by 7 days"/>
  </r>
  <r>
    <s v="TSK-0268"/>
    <s v="PRJ-013"/>
    <x v="14"/>
    <s v="Design employee handbook"/>
    <x v="2"/>
    <x v="12"/>
    <x v="1"/>
    <x v="1"/>
    <n v="2000"/>
    <n v="758"/>
    <d v="2024-08-18T00:00:00"/>
    <d v="2024-08-30T00:00:00"/>
    <m/>
    <n v="12"/>
    <n v="0"/>
    <s v="Internal"/>
    <s v="Nourhan Tarek"/>
    <n v="200000"/>
    <s v="Quality Assurance"/>
    <n v="250"/>
    <n v="-1242"/>
    <n v="-0.621"/>
    <s v="N/A"/>
    <s v="Medium (8-20 days)"/>
    <s v="Nourhan Tarek"/>
    <s v="On schedule"/>
  </r>
  <r>
    <s v="TSK-0049"/>
    <s v="PRJ-003"/>
    <x v="2"/>
    <s v="Deploy budget report"/>
    <x v="5"/>
    <x v="10"/>
    <x v="3"/>
    <x v="2"/>
    <n v="8000"/>
    <n v="6410"/>
    <d v="2024-06-26T00:00:00"/>
    <d v="2024-07-06T00:00:00"/>
    <d v="2024-07-06T00:00:00"/>
    <n v="10"/>
    <n v="0"/>
    <s v="Alexandria Logistics"/>
    <s v="Ahmed Nabil"/>
    <n v="100000"/>
    <s v="Operations"/>
    <n v="180"/>
    <n v="-1590"/>
    <n v="-0.19875000000000001"/>
    <s v="On Time"/>
    <s v="Medium (8-20 days)"/>
    <s v="Ahmed Nabil"/>
    <s v="On schedule"/>
  </r>
  <r>
    <s v="TSK-0199"/>
    <s v="PRJ-010"/>
    <x v="5"/>
    <s v="Approve quality checklist"/>
    <x v="7"/>
    <x v="7"/>
    <x v="1"/>
    <x v="4"/>
    <n v="2500"/>
    <n v="0"/>
    <m/>
    <m/>
    <m/>
    <m/>
    <n v="0"/>
    <s v="Internal"/>
    <s v="Sara Hassan"/>
    <n v="150000"/>
    <s v="IT"/>
    <n v="220"/>
    <n v="-2500"/>
    <n v="-1"/>
    <s v="N/A"/>
    <s v="Short (&lt;=7 days)"/>
    <s v="Sara Hassan"/>
    <s v="On schedule"/>
  </r>
  <r>
    <s v="TSK-0033"/>
    <s v="PRJ-002"/>
    <x v="9"/>
    <s v="Install warehouse layout"/>
    <x v="3"/>
    <x v="2"/>
    <x v="0"/>
    <x v="5"/>
    <n v="1500"/>
    <n v="551"/>
    <m/>
    <m/>
    <m/>
    <m/>
    <n v="0"/>
    <s v="Delta Retail Group"/>
    <s v="Youssef Adel"/>
    <n v="150000"/>
    <s v="Marketing"/>
    <n v="280"/>
    <n v="-949"/>
    <n v="-0.63266666666666671"/>
    <s v="N/A"/>
    <s v="Short (&lt;=7 days)"/>
    <s v="Youssef Adel"/>
    <s v="On schedule"/>
  </r>
  <r>
    <s v="TSK-0165"/>
    <s v="PRJ-008"/>
    <x v="7"/>
    <s v="Plan supplier list"/>
    <x v="1"/>
    <x v="15"/>
    <x v="1"/>
    <x v="3"/>
    <n v="2500"/>
    <n v="3146"/>
    <m/>
    <m/>
    <m/>
    <m/>
    <n v="0"/>
    <s v="Pharos Holdings"/>
    <s v="Nourhan Tarek"/>
    <n v="300000"/>
    <s v="Procurement"/>
    <n v="250"/>
    <n v="646"/>
    <n v="0.25840000000000002"/>
    <s v="N/A"/>
    <s v="Short (&lt;=7 days)"/>
    <s v="Nourhan Tarek"/>
    <s v="On schedule"/>
  </r>
  <r>
    <s v="TSK-0123"/>
    <s v="PRJ-006"/>
    <x v="10"/>
    <s v="Optimize security policy"/>
    <x v="3"/>
    <x v="15"/>
    <x v="0"/>
    <x v="0"/>
    <n v="4000"/>
    <n v="5387"/>
    <d v="2024-05-08T00:00:00"/>
    <d v="2024-06-02T00:00:00"/>
    <d v="2024-06-01T00:00:00"/>
    <n v="25"/>
    <n v="-1"/>
    <s v="BlueWave Telecom"/>
    <s v="Mona Farid"/>
    <n v="120000"/>
    <s v="Procurement"/>
    <n v="250"/>
    <n v="1387"/>
    <n v="0.34675"/>
    <s v="N/A"/>
    <s v="Long (&gt;20 days)"/>
    <s v="Mona Farid"/>
    <s v="Early by 1 days"/>
  </r>
  <r>
    <s v="TSK-0187"/>
    <s v="PRJ-009"/>
    <x v="12"/>
    <s v="Develop hardware setup"/>
    <x v="5"/>
    <x v="5"/>
    <x v="2"/>
    <x v="2"/>
    <n v="1500"/>
    <n v="2021"/>
    <d v="2024-03-03T00:00:00"/>
    <d v="2024-03-07T00:00:00"/>
    <d v="2024-03-05T00:00:00"/>
    <n v="4"/>
    <n v="-2"/>
    <s v="Suez Trading Co."/>
    <s v="Laila Samir"/>
    <n v="100000"/>
    <s v="IT"/>
    <n v="180"/>
    <n v="521"/>
    <n v="0.34733333333333333"/>
    <s v="On Time"/>
    <s v="Short (&lt;=7 days)"/>
    <s v="Laila Samir"/>
    <s v="Early by 2 days"/>
  </r>
  <r>
    <s v="TSK-0010"/>
    <s v="PRJ-001"/>
    <x v="1"/>
    <s v="Document quality checklist"/>
    <x v="2"/>
    <x v="6"/>
    <x v="1"/>
    <x v="3"/>
    <n v="3000"/>
    <n v="2378"/>
    <d v="2024-10-27T00:00:00"/>
    <d v="2024-11-05T00:00:00"/>
    <d v="2024-11-06T00:00:00"/>
    <n v="9"/>
    <n v="1"/>
    <s v="Nile Corp"/>
    <s v="Mona Farid"/>
    <n v="75000"/>
    <s v="Finance"/>
    <n v="280"/>
    <n v="-622"/>
    <n v="-0.20733333333333334"/>
    <s v="N/A"/>
    <s v="Medium (8-20 days)"/>
    <s v="Mona Farid"/>
    <s v="Delayed by 1 days"/>
  </r>
  <r>
    <s v="TSK-0095"/>
    <s v="PRJ-005"/>
    <x v="4"/>
    <s v="Design onboarding process"/>
    <x v="0"/>
    <x v="12"/>
    <x v="2"/>
    <x v="2"/>
    <n v="8000"/>
    <n v="8647"/>
    <d v="2024-05-22T00:00:00"/>
    <d v="2024-06-05T00:00:00"/>
    <d v="2024-06-02T00:00:00"/>
    <n v="14"/>
    <n v="-3"/>
    <s v="Horizon Manufacturing"/>
    <s v="Ahmed Nabil"/>
    <n v="50000"/>
    <s v="Quality Assurance"/>
    <n v="250"/>
    <n v="647"/>
    <n v="8.0875000000000002E-2"/>
    <s v="On Time"/>
    <s v="Medium (8-20 days)"/>
    <s v="Ahmed Nabil"/>
    <s v="Early by 3 days"/>
  </r>
  <r>
    <s v="TSK-0195"/>
    <s v="PRJ-010"/>
    <x v="5"/>
    <s v="Test warehouse layout"/>
    <x v="1"/>
    <x v="4"/>
    <x v="0"/>
    <x v="1"/>
    <n v="8000"/>
    <n v="2241"/>
    <d v="2024-08-23T00:00:00"/>
    <d v="2024-08-29T00:00:00"/>
    <m/>
    <n v="6"/>
    <n v="0"/>
    <s v="Internal"/>
    <s v="Sara Hassan"/>
    <n v="150000"/>
    <s v="Quality Assurance"/>
    <n v="200"/>
    <n v="-5759"/>
    <n v="-0.71987500000000004"/>
    <s v="N/A"/>
    <s v="Short (&lt;=7 days)"/>
    <s v="Sara Hassan"/>
    <s v="On schedule"/>
  </r>
  <r>
    <s v="TSK-0260"/>
    <s v="PRJ-013"/>
    <x v="14"/>
    <s v="Migrate customer feedback survey"/>
    <x v="0"/>
    <x v="1"/>
    <x v="0"/>
    <x v="6"/>
    <n v="2000"/>
    <n v="0"/>
    <m/>
    <m/>
    <m/>
    <m/>
    <n v="0"/>
    <s v="Internal"/>
    <s v="Nourhan Tarek"/>
    <n v="200000"/>
    <s v="IT"/>
    <n v="220"/>
    <n v="-2000"/>
    <n v="-1"/>
    <s v="N/A"/>
    <s v="Short (&lt;=7 days)"/>
    <s v="Nourhan Tarek"/>
    <s v="On schedule"/>
  </r>
  <r>
    <s v="TSK-0001"/>
    <s v="PRJ-001"/>
    <x v="1"/>
    <s v="Configure employee handbook"/>
    <x v="2"/>
    <x v="9"/>
    <x v="1"/>
    <x v="3"/>
    <n v="3000"/>
    <n v="3208"/>
    <d v="2024-10-11T00:00:00"/>
    <d v="2024-10-31T00:00:00"/>
    <d v="2024-10-29T00:00:00"/>
    <n v="20"/>
    <n v="-2"/>
    <s v="Nile Corp"/>
    <s v="Mona Farid"/>
    <n v="75000"/>
    <s v="Procurement"/>
    <n v="150"/>
    <n v="208"/>
    <n v="6.933333333333333E-2"/>
    <s v="N/A"/>
    <s v="Medium (8-20 days)"/>
    <s v="Mona Farid"/>
    <s v="Early by 2 days"/>
  </r>
  <r>
    <s v="TSK-0233"/>
    <s v="PRJ-012"/>
    <x v="6"/>
    <s v="Plan backup procedure"/>
    <x v="1"/>
    <x v="14"/>
    <x v="0"/>
    <x v="5"/>
    <n v="2000"/>
    <n v="1335"/>
    <d v="2024-04-13T00:00:00"/>
    <d v="2024-05-13T00:00:00"/>
    <m/>
    <n v="30"/>
    <n v="0"/>
    <s v="Red Sea Tourism"/>
    <s v="Ahmed Nabil"/>
    <n v="250000"/>
    <s v="Marketing"/>
    <n v="300"/>
    <n v="-665"/>
    <n v="-0.33250000000000002"/>
    <s v="N/A"/>
    <s v="Long (&gt;20 days)"/>
    <s v="Ahmed Nabil"/>
    <s v="On schedule"/>
  </r>
  <r>
    <s v="TSK-0188"/>
    <s v="PRJ-010"/>
    <x v="5"/>
    <s v="Review database schema"/>
    <x v="2"/>
    <x v="7"/>
    <x v="1"/>
    <x v="2"/>
    <n v="3000"/>
    <n v="2451"/>
    <d v="2024-06-24T00:00:00"/>
    <d v="2024-07-13T00:00:00"/>
    <d v="2024-07-14T00:00:00"/>
    <n v="19"/>
    <n v="1"/>
    <s v="Internal"/>
    <s v="Sara Hassan"/>
    <n v="150000"/>
    <s v="IT"/>
    <n v="220"/>
    <n v="-549"/>
    <n v="-0.183"/>
    <s v="Late"/>
    <s v="Medium (8-20 days)"/>
    <s v="Sara Hassan"/>
    <s v="Delayed by 1 days"/>
  </r>
  <r>
    <s v="TSK-0135"/>
    <s v="PRJ-007"/>
    <x v="13"/>
    <s v="Plan employee handbook"/>
    <x v="1"/>
    <x v="6"/>
    <x v="0"/>
    <x v="1"/>
    <n v="8000"/>
    <n v="2238"/>
    <d v="2024-08-27T00:00:00"/>
    <d v="2024-09-01T00:00:00"/>
    <m/>
    <n v="5"/>
    <n v="0"/>
    <s v="Internal"/>
    <s v="Laila Samir"/>
    <n v="120000"/>
    <s v="Finance"/>
    <n v="280"/>
    <n v="-5762"/>
    <n v="-0.72024999999999995"/>
    <s v="N/A"/>
    <s v="Short (&lt;=7 days)"/>
    <s v="Laila Samir"/>
    <s v="On schedule"/>
  </r>
  <r>
    <s v="TSK-0152"/>
    <s v="PRJ-008"/>
    <x v="7"/>
    <s v="Approve backup procedure"/>
    <x v="5"/>
    <x v="20"/>
    <x v="1"/>
    <x v="4"/>
    <n v="1500"/>
    <n v="0"/>
    <d v="2024-06-16T00:00:00"/>
    <d v="2024-06-26T00:00:00"/>
    <m/>
    <n v="10"/>
    <n v="0"/>
    <s v="Pharos Holdings"/>
    <s v="Nourhan Tarek"/>
    <n v="300000"/>
    <s v="Finance"/>
    <n v="250"/>
    <n v="-1500"/>
    <n v="-1"/>
    <s v="N/A"/>
    <s v="Medium (8-20 days)"/>
    <s v="Nourhan Tarek"/>
    <s v="On schedule"/>
  </r>
  <r>
    <s v="TSK-0231"/>
    <s v="PRJ-012"/>
    <x v="6"/>
    <s v="Procure backup procedure"/>
    <x v="0"/>
    <x v="21"/>
    <x v="2"/>
    <x v="2"/>
    <n v="2500"/>
    <n v="2372"/>
    <d v="2024-04-18T00:00:00"/>
    <d v="2024-05-11T00:00:00"/>
    <d v="2024-05-08T00:00:00"/>
    <n v="23"/>
    <n v="-3"/>
    <s v="Red Sea Tourism"/>
    <s v="Ahmed Nabil"/>
    <n v="250000"/>
    <s v="Procurement"/>
    <n v="200"/>
    <n v="-128"/>
    <n v="-5.1200000000000002E-2"/>
    <s v="On Time"/>
    <s v="Long (&gt;20 days)"/>
    <s v="Ahmed Nabil"/>
    <s v="Early by 3 days"/>
  </r>
  <r>
    <s v="TSK-0314"/>
    <s v="PRJ-015"/>
    <x v="11"/>
    <s v="Analyze dashboard"/>
    <x v="3"/>
    <x v="12"/>
    <x v="1"/>
    <x v="1"/>
    <n v="5000"/>
    <n v="1935"/>
    <d v="2024-05-31T00:00:00"/>
    <d v="2024-06-13T00:00:00"/>
    <m/>
    <n v="13"/>
    <n v="0"/>
    <s v="Internal"/>
    <s v="Nourhan Tarek"/>
    <n v="75000"/>
    <s v="Quality Assurance"/>
    <n v="250"/>
    <n v="-3065"/>
    <n v="-0.61299999999999999"/>
    <s v="N/A"/>
    <s v="Medium (8-20 days)"/>
    <s v="Nourhan Tarek"/>
    <s v="On schedule"/>
  </r>
  <r>
    <s v="TSK-0272"/>
    <s v="PRJ-014"/>
    <x v="3"/>
    <s v="Optimize dashboard"/>
    <x v="3"/>
    <x v="7"/>
    <x v="1"/>
    <x v="4"/>
    <n v="4000"/>
    <n v="0"/>
    <d v="2024-03-22T00:00:00"/>
    <d v="2024-04-20T00:00:00"/>
    <m/>
    <n v="29"/>
    <n v="0"/>
    <s v="Orbit Media"/>
    <s v="Ahmed Nabil"/>
    <n v="300000"/>
    <s v="IT"/>
    <n v="220"/>
    <n v="-4000"/>
    <n v="-1"/>
    <s v="N/A"/>
    <s v="Long (&gt;20 days)"/>
    <s v="Ahmed Nabil"/>
    <s v="On schedule"/>
  </r>
  <r>
    <s v="TSK-0036"/>
    <s v="PRJ-002"/>
    <x v="9"/>
    <s v="Migrate vendor contract"/>
    <x v="0"/>
    <x v="21"/>
    <x v="0"/>
    <x v="7"/>
    <n v="3000"/>
    <n v="2584"/>
    <m/>
    <m/>
    <m/>
    <m/>
    <n v="0"/>
    <s v="Delta Retail Group"/>
    <s v="Youssef Adel"/>
    <n v="150000"/>
    <s v="Procurement"/>
    <n v="200"/>
    <n v="-416"/>
    <n v="-0.13866666666666666"/>
    <s v="N/A"/>
    <s v="Short (&lt;=7 days)"/>
    <s v="Youssef Adel"/>
    <s v="On schedule"/>
  </r>
  <r>
    <s v="TSK-0083"/>
    <s v="PRJ-004"/>
    <x v="0"/>
    <s v="Configure backup procedure"/>
    <x v="2"/>
    <x v="12"/>
    <x v="0"/>
    <x v="2"/>
    <n v="1000"/>
    <n v="1015"/>
    <d v="2024-11-10T00:00:00"/>
    <d v="2024-12-08T00:00:00"/>
    <d v="2024-12-10T00:00:00"/>
    <n v="28"/>
    <n v="2"/>
    <s v="Cairo Financial Services"/>
    <s v="Laila Samir"/>
    <n v="75000"/>
    <s v="Quality Assurance"/>
    <n v="250"/>
    <n v="15"/>
    <n v="1.4999999999999999E-2"/>
    <s v="Late"/>
    <s v="Long (&gt;20 days)"/>
    <s v="Laila Samir"/>
    <s v="Delayed by 2 days"/>
  </r>
  <r>
    <s v="TSK-0141"/>
    <s v="PRJ-007"/>
    <x v="13"/>
    <s v="Configure API integration"/>
    <x v="5"/>
    <x v="3"/>
    <x v="1"/>
    <x v="0"/>
    <n v="10000"/>
    <n v="11220"/>
    <m/>
    <m/>
    <m/>
    <m/>
    <n v="0"/>
    <s v="Internal"/>
    <s v="Laila Samir"/>
    <n v="120000"/>
    <s v="IT"/>
    <n v="280"/>
    <n v="1220"/>
    <n v="0.122"/>
    <s v="N/A"/>
    <s v="Short (&lt;=7 days)"/>
    <s v="Laila Samir"/>
    <s v="On schedule"/>
  </r>
  <r>
    <s v="TSK-0240"/>
    <s v="PRJ-012"/>
    <x v="6"/>
    <s v="Plan user interface"/>
    <x v="0"/>
    <x v="25"/>
    <x v="1"/>
    <x v="2"/>
    <n v="2500"/>
    <n v="2376"/>
    <d v="2024-03-31T00:00:00"/>
    <d v="2024-04-29T00:00:00"/>
    <d v="2024-04-30T00:00:00"/>
    <n v="29"/>
    <n v="1"/>
    <s v="Red Sea Tourism"/>
    <s v="Ahmed Nabil"/>
    <n v="250000"/>
    <s v="Marketing"/>
    <n v="220"/>
    <n v="-124"/>
    <n v="-4.9599999999999998E-2"/>
    <s v="Late"/>
    <s v="Long (&gt;20 days)"/>
    <s v="Ahmed Nabil"/>
    <s v="Delayed by 1 days"/>
  </r>
  <r>
    <s v="TSK-0166"/>
    <s v="PRJ-008"/>
    <x v="7"/>
    <s v="Plan quality checklist"/>
    <x v="1"/>
    <x v="12"/>
    <x v="1"/>
    <x v="2"/>
    <n v="0"/>
    <n v="1656"/>
    <d v="2024-04-18T00:00:00"/>
    <d v="2024-04-29T00:00:00"/>
    <d v="2024-05-01T00:00:00"/>
    <n v="11"/>
    <n v="2"/>
    <s v="Pharos Holdings"/>
    <s v="Nourhan Tarek"/>
    <n v="300000"/>
    <s v="Quality Assurance"/>
    <n v="250"/>
    <n v="1656"/>
    <n v="0"/>
    <s v="Late"/>
    <s v="Medium (8-20 days)"/>
    <s v="Nourhan Tarek"/>
    <s v="Delayed by 2 days"/>
  </r>
  <r>
    <s v="TSK-0179"/>
    <s v="PRJ-009"/>
    <x v="12"/>
    <s v="Audit inventory system"/>
    <x v="6"/>
    <x v="1"/>
    <x v="0"/>
    <x v="4"/>
    <n v="2000"/>
    <n v="0"/>
    <d v="2024-04-06T00:00:00"/>
    <d v="2024-04-30T00:00:00"/>
    <m/>
    <n v="24"/>
    <n v="0"/>
    <s v="Suez Trading Co."/>
    <s v="Laila Samir"/>
    <n v="100000"/>
    <s v="IT"/>
    <n v="220"/>
    <n v="-2000"/>
    <n v="-1"/>
    <s v="N/A"/>
    <s v="Long (&gt;20 days)"/>
    <s v="Laila Samir"/>
    <s v="On schedule"/>
  </r>
  <r>
    <s v="TSK-0096"/>
    <s v="PRJ-005"/>
    <x v="4"/>
    <s v="Deploy user interface"/>
    <x v="3"/>
    <x v="21"/>
    <x v="0"/>
    <x v="1"/>
    <n v="1500"/>
    <n v="994"/>
    <d v="2024-04-06T00:00:00"/>
    <d v="2024-04-16T00:00:00"/>
    <m/>
    <n v="10"/>
    <n v="0"/>
    <s v="Horizon Manufacturing"/>
    <s v="Ahmed Nabil"/>
    <n v="50000"/>
    <s v="Procurement"/>
    <n v="200"/>
    <n v="-506"/>
    <n v="-0.33733333333333332"/>
    <s v="N/A"/>
    <s v="Medium (8-20 days)"/>
    <s v="Ahmed Nabil"/>
    <s v="On schedule"/>
  </r>
  <r>
    <s v="TSK-0098"/>
    <s v="PRJ-005"/>
    <x v="4"/>
    <s v="Migrate marketing collateral"/>
    <x v="2"/>
    <x v="24"/>
    <x v="0"/>
    <x v="7"/>
    <n v="2500"/>
    <n v="2251"/>
    <d v="2024-05-09T00:00:00"/>
    <d v="2024-05-20T00:00:00"/>
    <d v="2024-05-18T00:00:00"/>
    <n v="11"/>
    <n v="-2"/>
    <s v="Horizon Manufacturing"/>
    <s v="Ahmed Nabil"/>
    <n v="50000"/>
    <s v="Quality Assurance"/>
    <n v="250"/>
    <n v="-249"/>
    <n v="-9.9599999999999994E-2"/>
    <s v="N/A"/>
    <s v="Medium (8-20 days)"/>
    <s v="Ahmed Nabil"/>
    <s v="Early by 2 days"/>
  </r>
  <r>
    <s v="TSK-0251"/>
    <s v="PRJ-013"/>
    <x v="14"/>
    <s v="Configure backup procedure"/>
    <x v="6"/>
    <x v="10"/>
    <x v="1"/>
    <x v="6"/>
    <n v="5000"/>
    <n v="0"/>
    <d v="2024-05-01T00:00:00"/>
    <d v="2024-05-31T00:00:00"/>
    <m/>
    <n v="30"/>
    <n v="0"/>
    <s v="Internal"/>
    <s v="Nourhan Tarek"/>
    <n v="200000"/>
    <s v="Operations"/>
    <n v="180"/>
    <n v="-5000"/>
    <n v="-1"/>
    <s v="N/A"/>
    <s v="Long (&gt;20 days)"/>
    <s v="Nourhan Tarek"/>
    <s v="On schedule"/>
  </r>
  <r>
    <s v="TSK-0278"/>
    <s v="PRJ-014"/>
    <x v="3"/>
    <s v="Train users on security policy"/>
    <x v="3"/>
    <x v="3"/>
    <x v="0"/>
    <x v="2"/>
    <n v="6000"/>
    <n v="4896"/>
    <d v="2024-01-13T00:00:00"/>
    <d v="2024-02-01T00:00:00"/>
    <d v="2024-01-30T00:00:00"/>
    <n v="19"/>
    <n v="-2"/>
    <s v="Orbit Media"/>
    <s v="Ahmed Nabil"/>
    <n v="300000"/>
    <s v="IT"/>
    <n v="280"/>
    <n v="-1104"/>
    <n v="-0.184"/>
    <s v="On Time"/>
    <s v="Medium (8-20 days)"/>
    <s v="Ahmed Nabil"/>
    <s v="Early by 2 days"/>
  </r>
  <r>
    <s v="TSK-0151"/>
    <s v="PRJ-008"/>
    <x v="7"/>
    <s v="Migrate onboarding process"/>
    <x v="1"/>
    <x v="23"/>
    <x v="1"/>
    <x v="4"/>
    <n v="2500"/>
    <n v="0"/>
    <d v="2024-04-07T00:00:00"/>
    <d v="2024-04-28T00:00:00"/>
    <m/>
    <n v="21"/>
    <n v="0"/>
    <s v="Pharos Holdings"/>
    <s v="Nourhan Tarek"/>
    <n v="300000"/>
    <s v="HR"/>
    <n v="300"/>
    <n v="-2500"/>
    <n v="-1"/>
    <s v="N/A"/>
    <s v="Long (&gt;20 days)"/>
    <s v="Nourhan Tarek"/>
    <s v="On schedule"/>
  </r>
  <r>
    <s v="TSK-0294"/>
    <s v="PRJ-015"/>
    <x v="11"/>
    <s v="Audit budget report"/>
    <x v="5"/>
    <x v="13"/>
    <x v="0"/>
    <x v="1"/>
    <n v="1000"/>
    <n v="620"/>
    <m/>
    <m/>
    <m/>
    <m/>
    <n v="0"/>
    <s v="Internal"/>
    <s v="Nourhan Tarek"/>
    <n v="75000"/>
    <s v="Operations"/>
    <n v="200"/>
    <n v="-380"/>
    <n v="-0.38"/>
    <s v="N/A"/>
    <s v="Short (&lt;=7 days)"/>
    <s v="Nourhan Tarek"/>
    <s v="On schedule"/>
  </r>
  <r>
    <s v="TSK-0249"/>
    <s v="PRJ-012"/>
    <x v="6"/>
    <s v="Document dashboard"/>
    <x v="2"/>
    <x v="6"/>
    <x v="2"/>
    <x v="3"/>
    <n v="6000"/>
    <n v="8191"/>
    <d v="2024-06-02T00:00:00"/>
    <d v="2024-06-22T00:00:00"/>
    <d v="2024-06-20T00:00:00"/>
    <n v="20"/>
    <n v="-2"/>
    <s v="Red Sea Tourism"/>
    <s v="Ahmed Nabil"/>
    <n v="250000"/>
    <s v="Finance"/>
    <n v="280"/>
    <n v="2191"/>
    <n v="0.36516666666666664"/>
    <s v="N/A"/>
    <s v="Medium (8-20 days)"/>
    <s v="Ahmed Nabil"/>
    <s v="Early by 2 days"/>
  </r>
  <r>
    <s v="TSK-0021"/>
    <s v="PRJ-002"/>
    <x v="9"/>
    <s v="Test dashboard"/>
    <x v="0"/>
    <x v="11"/>
    <x v="2"/>
    <x v="2"/>
    <n v="2000"/>
    <n v="1434"/>
    <d v="2024-09-03T00:00:00"/>
    <d v="2024-10-01T00:00:00"/>
    <d v="2024-09-29T00:00:00"/>
    <n v="28"/>
    <n v="-2"/>
    <s v="Delta Retail Group"/>
    <s v="Youssef Adel"/>
    <n v="150000"/>
    <s v="Operations"/>
    <n v="200"/>
    <n v="-566"/>
    <n v="-0.28299999999999997"/>
    <s v="On Time"/>
    <s v="Long (&gt;20 days)"/>
    <s v="Youssef Adel"/>
    <s v="Early by 2 days"/>
  </r>
  <r>
    <s v="TSK-0129"/>
    <s v="PRJ-007"/>
    <x v="13"/>
    <s v="Audit warehouse layout"/>
    <x v="2"/>
    <x v="13"/>
    <x v="0"/>
    <x v="0"/>
    <n v="2500"/>
    <n v="2532"/>
    <d v="2024-05-24T00:00:00"/>
    <d v="2024-06-04T00:00:00"/>
    <d v="2024-06-13T00:00:00"/>
    <n v="11"/>
    <n v="9"/>
    <s v="Internal"/>
    <s v="Laila Samir"/>
    <n v="120000"/>
    <s v="Operations"/>
    <n v="200"/>
    <n v="32"/>
    <n v="1.2800000000000001E-2"/>
    <s v="N/A"/>
    <s v="Medium (8-20 days)"/>
    <s v="Laila Samir"/>
    <s v="Delayed by 9 days"/>
  </r>
  <r>
    <s v="TSK-0069"/>
    <s v="PRJ-004"/>
    <x v="0"/>
    <s v="Audit dashboard"/>
    <x v="2"/>
    <x v="9"/>
    <x v="1"/>
    <x v="2"/>
    <n v="4000"/>
    <n v="3867"/>
    <d v="2024-11-18T00:00:00"/>
    <d v="2024-12-08T00:00:00"/>
    <d v="2024-12-10T00:00:00"/>
    <n v="20"/>
    <n v="2"/>
    <s v="Cairo Financial Services"/>
    <s v="Laila Samir"/>
    <n v="75000"/>
    <s v="Procurement"/>
    <n v="150"/>
    <n v="-133"/>
    <n v="-3.3250000000000002E-2"/>
    <s v="Late"/>
    <s v="Medium (8-20 days)"/>
    <s v="Laila Samir"/>
    <s v="Delayed by 2 days"/>
  </r>
  <r>
    <s v="TSK-0184"/>
    <s v="PRJ-009"/>
    <x v="12"/>
    <s v="Design quality checklist"/>
    <x v="5"/>
    <x v="9"/>
    <x v="1"/>
    <x v="1"/>
    <n v="2500"/>
    <n v="1249"/>
    <d v="2024-04-09T00:00:00"/>
    <d v="2024-04-15T00:00:00"/>
    <m/>
    <n v="6"/>
    <n v="0"/>
    <s v="Suez Trading Co."/>
    <s v="Laila Samir"/>
    <n v="100000"/>
    <s v="Procurement"/>
    <n v="150"/>
    <n v="-1251"/>
    <n v="-0.50039999999999996"/>
    <s v="N/A"/>
    <s v="Short (&lt;=7 days)"/>
    <s v="Laila Samir"/>
    <s v="On schedule"/>
  </r>
  <r>
    <s v="TSK-0194"/>
    <s v="PRJ-010"/>
    <x v="5"/>
    <s v="Develop network infrastructure"/>
    <x v="5"/>
    <x v="25"/>
    <x v="1"/>
    <x v="0"/>
    <n v="8000"/>
    <n v="11105"/>
    <d v="2024-06-14T00:00:00"/>
    <d v="2024-06-20T00:00:00"/>
    <d v="2024-06-23T00:00:00"/>
    <n v="6"/>
    <n v="3"/>
    <s v="Internal"/>
    <s v="Sara Hassan"/>
    <n v="150000"/>
    <s v="Marketing"/>
    <n v="220"/>
    <n v="3105"/>
    <n v="0.388125"/>
    <s v="N/A"/>
    <s v="Short (&lt;=7 days)"/>
    <s v="Sara Hassan"/>
    <s v="Delayed by 3 days"/>
  </r>
  <r>
    <s v="TSK-0011"/>
    <s v="PRJ-001"/>
    <x v="1"/>
    <s v="Deploy marketing collateral"/>
    <x v="7"/>
    <x v="21"/>
    <x v="1"/>
    <x v="3"/>
    <n v="1500"/>
    <n v="1984"/>
    <d v="2024-07-08T00:00:00"/>
    <d v="2024-07-15T00:00:00"/>
    <d v="2024-07-14T00:00:00"/>
    <n v="7"/>
    <n v="-1"/>
    <s v="Nile Corp"/>
    <s v="Mona Farid"/>
    <n v="75000"/>
    <s v="Procurement"/>
    <n v="200"/>
    <n v="484"/>
    <n v="0.32266666666666666"/>
    <s v="N/A"/>
    <s v="Short (&lt;=7 days)"/>
    <s v="Mona Farid"/>
    <s v="Early by 1 days"/>
  </r>
  <r>
    <s v="TSK-0225"/>
    <s v="PRJ-011"/>
    <x v="8"/>
    <s v="Plan warehouse layout"/>
    <x v="3"/>
    <x v="19"/>
    <x v="2"/>
    <x v="0"/>
    <n v="1500"/>
    <n v="1349"/>
    <d v="2024-05-23T00:00:00"/>
    <d v="2024-05-31T00:00:00"/>
    <d v="2024-06-05T00:00:00"/>
    <n v="8"/>
    <n v="5"/>
    <s v="Giza Health Systems"/>
    <s v="Ahmed Nabil"/>
    <n v="200000"/>
    <s v="Finance"/>
    <n v="220"/>
    <n v="-151"/>
    <n v="-0.10066666666666667"/>
    <s v="N/A"/>
    <s v="Medium (8-20 days)"/>
    <s v="Ahmed Nabil"/>
    <s v="Delayed by 5 days"/>
  </r>
  <r>
    <s v="TSK-0178"/>
    <s v="PRJ-009"/>
    <x v="12"/>
    <s v="Configure network infrastructure"/>
    <x v="3"/>
    <x v="22"/>
    <x v="1"/>
    <x v="0"/>
    <n v="2000"/>
    <n v="2018"/>
    <d v="2024-04-28T00:00:00"/>
    <d v="2024-05-01T00:00:00"/>
    <d v="2024-05-01T00:00:00"/>
    <n v="3"/>
    <n v="0"/>
    <s v="Suez Trading Co."/>
    <s v="Laila Samir"/>
    <n v="100000"/>
    <s v="IT"/>
    <n v="150"/>
    <n v="18"/>
    <n v="8.9999999999999993E-3"/>
    <s v="N/A"/>
    <s v="Short (&lt;=7 days)"/>
    <s v="Laila Samir"/>
    <s v="On schedule"/>
  </r>
  <r>
    <s v="TSK-0286"/>
    <s v="PRJ-014"/>
    <x v="3"/>
    <s v="Procure employee handbook"/>
    <x v="7"/>
    <x v="19"/>
    <x v="0"/>
    <x v="5"/>
    <n v="3000"/>
    <n v="2385"/>
    <m/>
    <m/>
    <m/>
    <m/>
    <n v="0"/>
    <s v="Orbit Media"/>
    <s v="Ahmed Nabil"/>
    <n v="300000"/>
    <s v="Finance"/>
    <n v="220"/>
    <n v="-615"/>
    <n v="-0.20499999999999999"/>
    <s v="N/A"/>
    <s v="Short (&lt;=7 days)"/>
    <s v="Ahmed Nabil"/>
    <s v="On schedule"/>
  </r>
  <r>
    <s v="TSK-0163"/>
    <s v="PRJ-008"/>
    <x v="7"/>
    <s v="Deploy quality checklist"/>
    <x v="5"/>
    <x v="3"/>
    <x v="0"/>
    <x v="2"/>
    <n v="5000"/>
    <n v="6722"/>
    <d v="2024-06-28T00:00:00"/>
    <d v="2024-07-04T00:00:00"/>
    <d v="2024-07-03T00:00:00"/>
    <n v="6"/>
    <n v="-1"/>
    <s v="Pharos Holdings"/>
    <s v="Nourhan Tarek"/>
    <n v="300000"/>
    <s v="IT"/>
    <n v="280"/>
    <n v="1722"/>
    <n v="0.34439999999999998"/>
    <s v="On Time"/>
    <s v="Short (&lt;=7 days)"/>
    <s v="Nourhan Tarek"/>
    <s v="Early by 1 days"/>
  </r>
  <r>
    <s v="TSK-0120"/>
    <s v="PRJ-006"/>
    <x v="10"/>
    <s v="Deploy server configuration"/>
    <x v="1"/>
    <x v="14"/>
    <x v="1"/>
    <x v="1"/>
    <n v="8000"/>
    <n v="5320"/>
    <d v="2024-04-17T00:00:00"/>
    <d v="2024-05-03T00:00:00"/>
    <m/>
    <n v="16"/>
    <n v="0"/>
    <s v="BlueWave Telecom"/>
    <s v="Mona Farid"/>
    <n v="120000"/>
    <s v="Marketing"/>
    <n v="300"/>
    <n v="-2680"/>
    <n v="-0.33500000000000002"/>
    <s v="N/A"/>
    <s v="Medium (8-20 days)"/>
    <s v="Mona Farid"/>
    <s v="On schedule"/>
  </r>
  <r>
    <s v="TSK-0250"/>
    <s v="PRJ-012"/>
    <x v="6"/>
    <s v="Analyze vendor contract"/>
    <x v="7"/>
    <x v="6"/>
    <x v="2"/>
    <x v="2"/>
    <n v="2500"/>
    <n v="1754"/>
    <d v="2024-02-22T00:00:00"/>
    <d v="2024-02-28T00:00:00"/>
    <d v="2024-03-01T00:00:00"/>
    <n v="6"/>
    <n v="2"/>
    <s v="Red Sea Tourism"/>
    <s v="Ahmed Nabil"/>
    <n v="250000"/>
    <s v="Finance"/>
    <n v="280"/>
    <n v="-746"/>
    <n v="-0.2984"/>
    <s v="Late"/>
    <s v="Short (&lt;=7 days)"/>
    <s v="Ahmed Nabil"/>
    <s v="Delayed by 2 days"/>
  </r>
  <r>
    <s v="TSK-0065"/>
    <s v="PRJ-003"/>
    <x v="2"/>
    <s v="Configure budget report"/>
    <x v="2"/>
    <x v="11"/>
    <x v="2"/>
    <x v="4"/>
    <n v="4000"/>
    <n v="0"/>
    <m/>
    <m/>
    <m/>
    <m/>
    <n v="0"/>
    <s v="Alexandria Logistics"/>
    <s v="Ahmed Nabil"/>
    <n v="100000"/>
    <s v="Operations"/>
    <n v="200"/>
    <n v="-4000"/>
    <n v="-1"/>
    <s v="N/A"/>
    <s v="Short (&lt;=7 days)"/>
    <s v="Ahmed Nabil"/>
    <s v="On schedule"/>
  </r>
  <r>
    <s v="TSK-0055"/>
    <s v="PRJ-003"/>
    <x v="2"/>
    <s v="Approve customer feedback survey"/>
    <x v="0"/>
    <x v="3"/>
    <x v="2"/>
    <x v="1"/>
    <n v="2000"/>
    <n v="604"/>
    <d v="2024-07-20T00:00:00"/>
    <d v="2024-08-13T00:00:00"/>
    <m/>
    <n v="24"/>
    <n v="0"/>
    <s v="Alexandria Logistics"/>
    <s v="Ahmed Nabil"/>
    <n v="100000"/>
    <s v="IT"/>
    <n v="280"/>
    <n v="-1396"/>
    <n v="-0.69799999999999995"/>
    <s v="N/A"/>
    <s v="Long (&gt;20 days)"/>
    <s v="Ahmed Nabil"/>
    <s v="On schedule"/>
  </r>
  <r>
    <s v="TSK-0275"/>
    <s v="PRJ-014"/>
    <x v="3"/>
    <s v="Optimize quality checklist"/>
    <x v="3"/>
    <x v="23"/>
    <x v="2"/>
    <x v="2"/>
    <n v="2000"/>
    <n v="1651"/>
    <m/>
    <m/>
    <m/>
    <m/>
    <n v="0"/>
    <s v="Orbit Media"/>
    <s v="Ahmed Nabil"/>
    <n v="300000"/>
    <s v="HR"/>
    <n v="300"/>
    <n v="-349"/>
    <n v="-0.17449999999999999"/>
    <s v="On Time"/>
    <s v="Short (&lt;=7 days)"/>
    <s v="Ahmed Nabil"/>
    <s v="On schedule"/>
  </r>
  <r>
    <s v="TSK-0079"/>
    <s v="PRJ-004"/>
    <x v="0"/>
    <s v="Approve server configuration"/>
    <x v="0"/>
    <x v="11"/>
    <x v="1"/>
    <x v="1"/>
    <n v="5000"/>
    <n v="3533"/>
    <d v="2024-09-22T00:00:00"/>
    <d v="2024-09-27T00:00:00"/>
    <m/>
    <n v="5"/>
    <n v="0"/>
    <s v="Cairo Financial Services"/>
    <s v="Laila Samir"/>
    <n v="75000"/>
    <s v="Operations"/>
    <n v="200"/>
    <n v="-1467"/>
    <n v="-0.29339999999999999"/>
    <s v="N/A"/>
    <s v="Short (&lt;=7 days)"/>
    <s v="Laila Samir"/>
    <s v="On schedule"/>
  </r>
  <r>
    <s v="TSK-0183"/>
    <s v="PRJ-009"/>
    <x v="12"/>
    <s v="Audit security policy"/>
    <x v="3"/>
    <x v="27"/>
    <x v="0"/>
    <x v="2"/>
    <n v="10000"/>
    <n v="12048"/>
    <d v="2024-03-05T00:00:00"/>
    <d v="2024-03-25T00:00:00"/>
    <d v="2024-03-26T00:00:00"/>
    <n v="20"/>
    <n v="1"/>
    <s v="Suez Trading Co."/>
    <s v="Laila Samir"/>
    <n v="100000"/>
    <s v="Operations"/>
    <n v="220"/>
    <n v="2048"/>
    <n v="0.20480000000000001"/>
    <s v="Late"/>
    <s v="Medium (8-20 days)"/>
    <s v="Laila Samir"/>
    <s v="Delayed by 1 days"/>
  </r>
  <r>
    <s v="TSK-0031"/>
    <s v="PRJ-002"/>
    <x v="9"/>
    <s v="Develop quality checklist"/>
    <x v="0"/>
    <x v="9"/>
    <x v="1"/>
    <x v="1"/>
    <n v="3000"/>
    <n v="2131"/>
    <d v="2024-08-03T00:00:00"/>
    <d v="2024-08-28T00:00:00"/>
    <m/>
    <n v="25"/>
    <n v="0"/>
    <s v="Delta Retail Group"/>
    <s v="Youssef Adel"/>
    <n v="150000"/>
    <s v="Procurement"/>
    <n v="150"/>
    <n v="-869"/>
    <n v="-0.28966666666666668"/>
    <s v="N/A"/>
    <s v="Long (&gt;20 days)"/>
    <s v="Youssef Adel"/>
    <s v="On schedule"/>
  </r>
  <r>
    <s v="TSK-0174"/>
    <s v="PRJ-009"/>
    <x v="12"/>
    <s v="Review network infrastructure"/>
    <x v="1"/>
    <x v="13"/>
    <x v="0"/>
    <x v="3"/>
    <n v="3000"/>
    <n v="2708"/>
    <d v="2024-05-18T00:00:00"/>
    <d v="2024-05-26T00:00:00"/>
    <d v="2024-05-25T00:00:00"/>
    <n v="8"/>
    <n v="-1"/>
    <s v="Suez Trading Co."/>
    <s v="Laila Samir"/>
    <n v="100000"/>
    <s v="Operations"/>
    <n v="200"/>
    <n v="-292"/>
    <n v="-9.7333333333333327E-2"/>
    <s v="N/A"/>
    <s v="Medium (8-20 days)"/>
    <s v="Laila Samir"/>
    <s v="Early by 1 days"/>
  </r>
  <r>
    <s v="TSK-0047"/>
    <s v="PRJ-003"/>
    <x v="2"/>
    <s v="Audit dashboard"/>
    <x v="2"/>
    <x v="0"/>
    <x v="1"/>
    <x v="2"/>
    <n v="1000"/>
    <n v="842"/>
    <m/>
    <m/>
    <m/>
    <m/>
    <n v="0"/>
    <s v="Alexandria Logistics"/>
    <s v="Ahmed Nabil"/>
    <n v="100000"/>
    <s v="HR"/>
    <n v="150"/>
    <n v="-158"/>
    <n v="-0.158"/>
    <s v="On Time"/>
    <s v="Short (&lt;=7 days)"/>
    <s v="Ahmed Nabil"/>
    <s v="On schedule"/>
  </r>
  <r>
    <s v="TSK-0256"/>
    <s v="PRJ-013"/>
    <x v="14"/>
    <s v="Audit marketing collateral"/>
    <x v="6"/>
    <x v="12"/>
    <x v="0"/>
    <x v="2"/>
    <n v="2500"/>
    <n v="2217"/>
    <m/>
    <m/>
    <m/>
    <m/>
    <n v="0"/>
    <s v="Internal"/>
    <s v="Nourhan Tarek"/>
    <n v="200000"/>
    <s v="Quality Assurance"/>
    <n v="250"/>
    <n v="-283"/>
    <n v="-0.1132"/>
    <s v="On Time"/>
    <s v="Short (&lt;=7 days)"/>
    <s v="Nourhan Tarek"/>
    <s v="On schedule"/>
  </r>
  <r>
    <s v="TSK-0081"/>
    <s v="PRJ-004"/>
    <x v="0"/>
    <s v="Migrate backup procedure"/>
    <x v="1"/>
    <x v="2"/>
    <x v="1"/>
    <x v="1"/>
    <n v="10000"/>
    <n v="6559"/>
    <d v="2024-10-18T00:00:00"/>
    <d v="2024-11-14T00:00:00"/>
    <m/>
    <n v="27"/>
    <n v="0"/>
    <s v="Cairo Financial Services"/>
    <s v="Laila Samir"/>
    <n v="75000"/>
    <s v="Marketing"/>
    <n v="280"/>
    <n v="-3441"/>
    <n v="-0.34410000000000002"/>
    <s v="N/A"/>
    <s v="Long (&gt;20 days)"/>
    <s v="Laila Samir"/>
    <s v="On schedule"/>
  </r>
  <r>
    <s v="TSK-0128"/>
    <s v="PRJ-007"/>
    <x v="13"/>
    <s v="Procure server configuration"/>
    <x v="5"/>
    <x v="18"/>
    <x v="0"/>
    <x v="4"/>
    <n v="10000"/>
    <n v="0"/>
    <d v="2024-07-11T00:00:00"/>
    <d v="2024-07-19T00:00:00"/>
    <m/>
    <n v="8"/>
    <n v="0"/>
    <s v="Internal"/>
    <s v="Laila Samir"/>
    <n v="120000"/>
    <m/>
    <m/>
    <n v="-10000"/>
    <n v="-1"/>
    <s v="N/A"/>
    <s v="Medium (8-20 days)"/>
    <s v="Laila Samir"/>
    <s v="On schedule"/>
  </r>
  <r>
    <s v="TSK-0046"/>
    <s v="PRJ-003"/>
    <x v="2"/>
    <s v="Review onboarding process"/>
    <x v="1"/>
    <x v="13"/>
    <x v="0"/>
    <x v="1"/>
    <n v="6000"/>
    <n v="1517"/>
    <d v="2024-07-16T00:00:00"/>
    <d v="2024-07-20T00:00:00"/>
    <m/>
    <n v="4"/>
    <n v="0"/>
    <s v="Alexandria Logistics"/>
    <s v="Ahmed Nabil"/>
    <n v="100000"/>
    <s v="Operations"/>
    <n v="200"/>
    <n v="-4483"/>
    <n v="-0.74716666666666665"/>
    <s v="N/A"/>
    <s v="Short (&lt;=7 days)"/>
    <s v="Ahmed Nabil"/>
    <s v="On schedule"/>
  </r>
  <r>
    <s v="TSK-0191"/>
    <s v="PRJ-010"/>
    <x v="5"/>
    <s v="Develop training material"/>
    <x v="5"/>
    <x v="5"/>
    <x v="1"/>
    <x v="1"/>
    <n v="1500"/>
    <n v="814"/>
    <d v="2024-06-17T00:00:00"/>
    <d v="2024-06-28T00:00:00"/>
    <m/>
    <n v="11"/>
    <n v="0"/>
    <s v="Internal"/>
    <s v="Sara Hassan"/>
    <n v="150000"/>
    <s v="IT"/>
    <n v="180"/>
    <n v="-686"/>
    <n v="-0.45733333333333331"/>
    <s v="N/A"/>
    <s v="Medium (8-20 days)"/>
    <s v="Sara Hassan"/>
    <s v="On schedule"/>
  </r>
  <r>
    <s v="TSK-0080"/>
    <s v="PRJ-004"/>
    <x v="0"/>
    <s v="Deploy inventory system"/>
    <x v="5"/>
    <x v="6"/>
    <x v="1"/>
    <x v="1"/>
    <n v="2500"/>
    <n v="1859"/>
    <d v="2024-11-04T00:00:00"/>
    <d v="2024-11-23T00:00:00"/>
    <m/>
    <n v="19"/>
    <n v="0"/>
    <s v="Cairo Financial Services"/>
    <s v="Laila Samir"/>
    <n v="75000"/>
    <s v="Finance"/>
    <n v="280"/>
    <n v="-641"/>
    <n v="-0.25640000000000002"/>
    <s v="N/A"/>
    <s v="Medium (8-20 days)"/>
    <s v="Laila Samir"/>
    <s v="On schedule"/>
  </r>
  <r>
    <s v="TSK-0306"/>
    <s v="PRJ-015"/>
    <x v="11"/>
    <s v="Develop database schema"/>
    <x v="1"/>
    <x v="14"/>
    <x v="1"/>
    <x v="0"/>
    <n v="1500"/>
    <n v="2034"/>
    <d v="2024-07-16T00:00:00"/>
    <d v="2024-07-22T00:00:00"/>
    <d v="2024-07-22T00:00:00"/>
    <n v="6"/>
    <n v="0"/>
    <s v="Internal"/>
    <s v="Nourhan Tarek"/>
    <n v="75000"/>
    <s v="Marketing"/>
    <n v="300"/>
    <n v="534"/>
    <n v="0.35599999999999998"/>
    <s v="N/A"/>
    <s v="Short (&lt;=7 days)"/>
    <s v="Nourhan Tarek"/>
    <s v="On schedule"/>
  </r>
  <r>
    <s v="TSK-0244"/>
    <s v="PRJ-012"/>
    <x v="6"/>
    <s v="Procure warehouse layout"/>
    <x v="6"/>
    <x v="8"/>
    <x v="0"/>
    <x v="2"/>
    <n v="1000"/>
    <n v="1387"/>
    <d v="2024-02-21T00:00:00"/>
    <d v="2024-02-28T00:00:00"/>
    <d v="2024-03-01T00:00:00"/>
    <n v="7"/>
    <n v="2"/>
    <s v="Red Sea Tourism"/>
    <s v="Ahmed Nabil"/>
    <n v="250000"/>
    <s v="Operations"/>
    <n v="180"/>
    <n v="387"/>
    <n v="0.38700000000000001"/>
    <s v="Late"/>
    <s v="Short (&lt;=7 days)"/>
    <s v="Ahmed Nabil"/>
    <s v="Delayed by 2 days"/>
  </r>
  <r>
    <s v="TSK-0298"/>
    <s v="PRJ-015"/>
    <x v="11"/>
    <s v="Design security policy"/>
    <x v="7"/>
    <x v="17"/>
    <x v="2"/>
    <x v="2"/>
    <n v="8000"/>
    <n v="8176"/>
    <d v="2024-08-01T00:00:00"/>
    <d v="2024-08-07T00:00:00"/>
    <d v="2024-08-09T00:00:00"/>
    <n v="6"/>
    <n v="2"/>
    <s v="Internal"/>
    <s v="Nourhan Tarek"/>
    <n v="75000"/>
    <s v="Procurement"/>
    <n v="180"/>
    <n v="176"/>
    <n v="2.1999999999999999E-2"/>
    <s v="Late"/>
    <s v="Short (&lt;=7 days)"/>
    <s v="Nourhan Tarek"/>
    <s v="Delayed by 2 days"/>
  </r>
  <r>
    <s v="TSK-0022"/>
    <s v="PRJ-002"/>
    <x v="9"/>
    <s v="Install user interface"/>
    <x v="1"/>
    <x v="17"/>
    <x v="1"/>
    <x v="2"/>
    <n v="2500"/>
    <n v="0"/>
    <d v="2024-08-04T00:00:00"/>
    <d v="2024-08-31T00:00:00"/>
    <d v="2024-08-31T00:00:00"/>
    <n v="27"/>
    <n v="0"/>
    <s v="Delta Retail Group"/>
    <s v="Youssef Adel"/>
    <n v="150000"/>
    <s v="Procurement"/>
    <n v="180"/>
    <n v="-2500"/>
    <n v="-1"/>
    <s v="On Time"/>
    <s v="Long (&gt;20 days)"/>
    <s v="Youssef Adel"/>
    <s v="On schedule"/>
  </r>
  <r>
    <s v="TSK-0005"/>
    <s v="PRJ-001"/>
    <x v="1"/>
    <s v="Install employee handbook"/>
    <x v="6"/>
    <x v="11"/>
    <x v="2"/>
    <x v="1"/>
    <n v="2000"/>
    <n v="734"/>
    <d v="2024-07-17T00:00:00"/>
    <d v="2024-08-02T00:00:00"/>
    <m/>
    <n v="16"/>
    <n v="0"/>
    <s v="Nile Corp"/>
    <s v="Mona Farid"/>
    <n v="75000"/>
    <s v="Operations"/>
    <n v="200"/>
    <n v="-1266"/>
    <n v="-0.63300000000000001"/>
    <s v="N/A"/>
    <s v="Medium (8-20 days)"/>
    <s v="Mona Farid"/>
    <s v="On schedule"/>
  </r>
  <r>
    <s v="TSK-0125"/>
    <s v="PRJ-006"/>
    <x v="10"/>
    <s v="Migrate hardware setup"/>
    <x v="2"/>
    <x v="24"/>
    <x v="1"/>
    <x v="6"/>
    <n v="2500"/>
    <n v="0"/>
    <d v="2024-06-25T00:00:00"/>
    <d v="2024-07-13T00:00:00"/>
    <m/>
    <n v="18"/>
    <n v="0"/>
    <s v="BlueWave Telecom"/>
    <s v="Mona Farid"/>
    <n v="120000"/>
    <s v="Quality Assurance"/>
    <n v="250"/>
    <n v="-2500"/>
    <n v="-1"/>
    <s v="N/A"/>
    <s v="Medium (8-20 days)"/>
    <s v="Mona Farid"/>
    <s v="On schedule"/>
  </r>
  <r>
    <s v="TSK-0203"/>
    <s v="PRJ-010"/>
    <x v="5"/>
    <s v="Document database schema"/>
    <x v="6"/>
    <x v="20"/>
    <x v="0"/>
    <x v="2"/>
    <n v="3000"/>
    <n v="2478"/>
    <d v="2024-08-03T00:00:00"/>
    <d v="2024-08-16T00:00:00"/>
    <d v="2024-08-16T00:00:00"/>
    <n v="13"/>
    <n v="0"/>
    <s v="Internal"/>
    <s v="Sara Hassan"/>
    <n v="150000"/>
    <s v="Finance"/>
    <n v="250"/>
    <n v="-522"/>
    <n v="-0.17399999999999999"/>
    <s v="On Time"/>
    <s v="Medium (8-20 days)"/>
    <s v="Sara Hassan"/>
    <s v="On schedule"/>
  </r>
  <r>
    <s v="TSK-0062"/>
    <s v="PRJ-003"/>
    <x v="2"/>
    <s v="Review network infrastructure"/>
    <x v="2"/>
    <x v="27"/>
    <x v="0"/>
    <x v="7"/>
    <n v="6000"/>
    <n v="8019"/>
    <d v="2024-04-23T00:00:00"/>
    <d v="2024-05-16T00:00:00"/>
    <d v="2024-05-15T00:00:00"/>
    <n v="23"/>
    <n v="-1"/>
    <s v="Alexandria Logistics"/>
    <s v="Ahmed Nabil"/>
    <n v="100000"/>
    <s v="Operations"/>
    <n v="220"/>
    <n v="2019"/>
    <n v="0.33650000000000002"/>
    <s v="N/A"/>
    <s v="Long (&gt;20 days)"/>
    <s v="Ahmed Nabil"/>
    <s v="Early by 1 days"/>
  </r>
  <r>
    <s v="TSK-0300"/>
    <s v="PRJ-015"/>
    <x v="11"/>
    <s v="Document employee handbook"/>
    <x v="6"/>
    <x v="21"/>
    <x v="2"/>
    <x v="1"/>
    <n v="2500"/>
    <n v="1721"/>
    <d v="2024-08-31T00:00:00"/>
    <d v="2024-09-24T00:00:00"/>
    <m/>
    <n v="24"/>
    <n v="0"/>
    <s v="Internal"/>
    <s v="Nourhan Tarek"/>
    <n v="75000"/>
    <s v="Procurement"/>
    <n v="200"/>
    <n v="-779"/>
    <n v="-0.31159999999999999"/>
    <s v="N/A"/>
    <s v="Long (&gt;20 days)"/>
    <s v="Nourhan Tarek"/>
    <s v="On schedule"/>
  </r>
  <r>
    <s v="TSK-0142"/>
    <s v="PRJ-007"/>
    <x v="13"/>
    <s v="Migrate hardware setup"/>
    <x v="0"/>
    <x v="19"/>
    <x v="2"/>
    <x v="1"/>
    <n v="10000"/>
    <n v="6223"/>
    <m/>
    <m/>
    <m/>
    <m/>
    <n v="0"/>
    <s v="Internal"/>
    <s v="Laila Samir"/>
    <n v="120000"/>
    <s v="Finance"/>
    <n v="220"/>
    <n v="-3777"/>
    <n v="-0.37769999999999998"/>
    <s v="N/A"/>
    <s v="Short (&lt;=7 days)"/>
    <s v="Laila Samir"/>
    <s v="On schedule"/>
  </r>
  <r>
    <s v="TSK-0086"/>
    <s v="PRJ-004"/>
    <x v="0"/>
    <s v="Audit employee handbook"/>
    <x v="7"/>
    <x v="17"/>
    <x v="2"/>
    <x v="5"/>
    <n v="5000"/>
    <n v="1387"/>
    <d v="2024-09-19T00:00:00"/>
    <d v="2024-10-01T00:00:00"/>
    <m/>
    <n v="12"/>
    <n v="0"/>
    <s v="Cairo Financial Services"/>
    <s v="Laila Samir"/>
    <n v="75000"/>
    <s v="Procurement"/>
    <n v="180"/>
    <n v="-3613"/>
    <n v="-0.72260000000000002"/>
    <s v="N/A"/>
    <s v="Medium (8-20 days)"/>
    <s v="Laila Samir"/>
    <s v="On schedule"/>
  </r>
  <r>
    <s v="TSK-0008"/>
    <s v="PRJ-001"/>
    <x v="1"/>
    <s v="Approve vendor contract"/>
    <x v="7"/>
    <x v="16"/>
    <x v="1"/>
    <x v="6"/>
    <n v="1500"/>
    <n v="0"/>
    <m/>
    <m/>
    <m/>
    <m/>
    <n v="0"/>
    <s v="Nile Corp"/>
    <s v="Mona Farid"/>
    <n v="75000"/>
    <s v="Procurement"/>
    <n v="180"/>
    <n v="-1500"/>
    <n v="-1"/>
    <s v="N/A"/>
    <s v="Short (&lt;=7 days)"/>
    <s v="Mona Farid"/>
    <s v="On schedule"/>
  </r>
  <r>
    <s v="TSK-0167"/>
    <s v="PRJ-008"/>
    <x v="7"/>
    <s v="Plan hardware setup"/>
    <x v="0"/>
    <x v="2"/>
    <x v="2"/>
    <x v="2"/>
    <n v="4000"/>
    <n v="3786"/>
    <d v="2024-06-05T00:00:00"/>
    <d v="2024-06-26T00:00:00"/>
    <d v="2024-06-23T00:00:00"/>
    <n v="21"/>
    <n v="-3"/>
    <s v="Pharos Holdings"/>
    <s v="Nourhan Tarek"/>
    <n v="300000"/>
    <s v="Marketing"/>
    <n v="280"/>
    <n v="-214"/>
    <n v="-5.3499999999999999E-2"/>
    <s v="On Time"/>
    <s v="Long (&gt;20 days)"/>
    <s v="Nourhan Tarek"/>
    <s v="Early by 3 days"/>
  </r>
  <r>
    <s v="TSK-0223"/>
    <s v="PRJ-011"/>
    <x v="8"/>
    <s v="Design training material"/>
    <x v="3"/>
    <x v="24"/>
    <x v="1"/>
    <x v="2"/>
    <n v="8000"/>
    <n v="7859"/>
    <d v="2024-03-12T00:00:00"/>
    <d v="2024-03-24T00:00:00"/>
    <d v="2024-03-26T00:00:00"/>
    <n v="12"/>
    <n v="2"/>
    <s v="Giza Health Systems"/>
    <s v="Ahmed Nabil"/>
    <n v="200000"/>
    <s v="Quality Assurance"/>
    <n v="250"/>
    <n v="-141"/>
    <n v="-1.7624999999999998E-2"/>
    <s v="Late"/>
    <s v="Medium (8-20 days)"/>
    <s v="Ahmed Nabil"/>
    <s v="Delayed by 2 days"/>
  </r>
  <r>
    <s v="TSK-0121"/>
    <s v="PRJ-006"/>
    <x v="10"/>
    <s v="Optimize security policy"/>
    <x v="5"/>
    <x v="21"/>
    <x v="1"/>
    <x v="2"/>
    <n v="4000"/>
    <n v="4692"/>
    <d v="2024-07-10T00:00:00"/>
    <d v="2024-07-23T00:00:00"/>
    <d v="2024-07-24T00:00:00"/>
    <n v="13"/>
    <n v="1"/>
    <s v="BlueWave Telecom"/>
    <s v="Mona Farid"/>
    <n v="120000"/>
    <s v="Procurement"/>
    <n v="200"/>
    <n v="692"/>
    <n v="0.17299999999999999"/>
    <s v="Late"/>
    <s v="Medium (8-20 days)"/>
    <s v="Mona Farid"/>
    <s v="Delayed by 1 day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DF9AE5-62BD-4609-B377-4B82B10E986C}" name="PivotTable7" cacheId="139" applyNumberFormats="0" applyBorderFormats="0" applyFontFormats="0" applyPatternFormats="0" applyAlignmentFormats="0" applyWidthHeightFormats="1" dataCaption="Values" tag="a090e623-122a-4636-84b2-8de9f5f6f557" updatedVersion="8" minRefreshableVersion="3" useAutoFormatting="1" itemPrintTitles="1" createdVersion="8" indent="0" outline="1" outlineData="1" multipleFieldFilters="0">
  <location ref="A54:AK72" firstHeaderRow="1" firstDataRow="3" firstDataCol="1"/>
  <pivotFields count="7">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8">
        <item x="0"/>
        <item x="1"/>
        <item x="2"/>
        <item x="3"/>
        <item x="4"/>
        <item x="5"/>
        <item x="6"/>
        <item x="7"/>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6">
    <i>
      <x/>
    </i>
    <i>
      <x v="1"/>
    </i>
    <i>
      <x v="2"/>
    </i>
    <i>
      <x v="3"/>
    </i>
    <i>
      <x v="4"/>
    </i>
    <i>
      <x v="5"/>
    </i>
    <i>
      <x v="6"/>
    </i>
    <i>
      <x v="7"/>
    </i>
    <i>
      <x v="8"/>
    </i>
    <i>
      <x v="9"/>
    </i>
    <i>
      <x v="10"/>
    </i>
    <i>
      <x v="11"/>
    </i>
    <i>
      <x v="12"/>
    </i>
    <i>
      <x v="13"/>
    </i>
    <i>
      <x v="14"/>
    </i>
    <i t="grand">
      <x/>
    </i>
  </rowItems>
  <colFields count="2">
    <field x="1"/>
    <field x="-2"/>
  </colFields>
  <colItems count="36">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x v="5"/>
      <x/>
    </i>
    <i r="1" i="1">
      <x v="1"/>
    </i>
    <i r="1" i="2">
      <x v="2"/>
    </i>
    <i r="1" i="3">
      <x v="3"/>
    </i>
    <i>
      <x v="6"/>
      <x/>
    </i>
    <i r="1" i="1">
      <x v="1"/>
    </i>
    <i r="1" i="2">
      <x v="2"/>
    </i>
    <i r="1" i="3">
      <x v="3"/>
    </i>
    <i>
      <x v="7"/>
      <x/>
    </i>
    <i r="1" i="1">
      <x v="1"/>
    </i>
    <i r="1" i="2">
      <x v="2"/>
    </i>
    <i r="1" i="3">
      <x v="3"/>
    </i>
    <i t="grand">
      <x/>
    </i>
    <i t="grand" i="1">
      <x/>
    </i>
    <i t="grand" i="2">
      <x/>
    </i>
    <i t="grand" i="3">
      <x/>
    </i>
  </colItems>
  <dataFields count="4">
    <dataField fld="2" subtotal="count" baseField="0" baseItem="0"/>
    <dataField fld="3" subtotal="count" baseField="0" baseItem="0"/>
    <dataField fld="4" subtotal="count" baseField="0" baseItem="0"/>
    <dataField fld="5" subtotal="count" baseField="0" baseItem="0"/>
  </dataFields>
  <formats count="9">
    <format dxfId="357">
      <pivotArea dataOnly="0" labelOnly="1" outline="0" fieldPosition="0">
        <references count="2">
          <reference field="4294967294" count="1">
            <x v="2"/>
          </reference>
          <reference field="1" count="1" selected="0">
            <x v="1"/>
          </reference>
        </references>
      </pivotArea>
    </format>
    <format dxfId="356">
      <pivotArea collapsedLevelsAreSubtotals="1" fieldPosition="0">
        <references count="3">
          <reference field="4294967294" count="1" selected="0">
            <x v="2"/>
          </reference>
          <reference field="0" count="0"/>
          <reference field="1" count="1" selected="0">
            <x v="1"/>
          </reference>
        </references>
      </pivotArea>
    </format>
    <format dxfId="355">
      <pivotArea collapsedLevelsAreSubtotals="1" fieldPosition="0">
        <references count="3">
          <reference field="4294967294" count="1" selected="0">
            <x v="2"/>
          </reference>
          <reference field="0" count="0"/>
          <reference field="1" count="1" selected="0">
            <x v="2"/>
          </reference>
        </references>
      </pivotArea>
    </format>
    <format dxfId="354">
      <pivotArea collapsedLevelsAreSubtotals="1" fieldPosition="0">
        <references count="3">
          <reference field="4294967294" count="1" selected="0">
            <x v="2"/>
          </reference>
          <reference field="0" count="0"/>
          <reference field="1" count="1" selected="0">
            <x v="3"/>
          </reference>
        </references>
      </pivotArea>
    </format>
    <format dxfId="353">
      <pivotArea collapsedLevelsAreSubtotals="1" fieldPosition="0">
        <references count="3">
          <reference field="4294967294" count="1" selected="0">
            <x v="2"/>
          </reference>
          <reference field="0" count="0"/>
          <reference field="1" count="1" selected="0">
            <x v="4"/>
          </reference>
        </references>
      </pivotArea>
    </format>
    <format dxfId="352">
      <pivotArea collapsedLevelsAreSubtotals="1" fieldPosition="0">
        <references count="3">
          <reference field="4294967294" count="1" selected="0">
            <x v="2"/>
          </reference>
          <reference field="0" count="0"/>
          <reference field="1" count="1" selected="0">
            <x v="5"/>
          </reference>
        </references>
      </pivotArea>
    </format>
    <format dxfId="351">
      <pivotArea collapsedLevelsAreSubtotals="1" fieldPosition="0">
        <references count="3">
          <reference field="4294967294" count="1" selected="0">
            <x v="2"/>
          </reference>
          <reference field="0" count="0"/>
          <reference field="1" count="1" selected="0">
            <x v="6"/>
          </reference>
        </references>
      </pivotArea>
    </format>
    <format dxfId="350">
      <pivotArea collapsedLevelsAreSubtotals="1" fieldPosition="0">
        <references count="3">
          <reference field="4294967294" count="1" selected="0">
            <x v="2"/>
          </reference>
          <reference field="0" count="0"/>
          <reference field="1" count="1" selected="0">
            <x v="7"/>
          </reference>
        </references>
      </pivotArea>
    </format>
    <format dxfId="349">
      <pivotArea field="0" grandCol="1" collapsedLevelsAreSubtotals="1" axis="axisRow" fieldPosition="0">
        <references count="2">
          <reference field="4294967294" count="1" selected="0">
            <x v="2"/>
          </reference>
          <reference field="0" count="0"/>
        </references>
      </pivotArea>
    </format>
  </formats>
  <pivotHierarchies count="4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6" showRowHeaders="1" showColHeaders="1" showRowStripes="0" showColStripes="0" showLastColumn="1"/>
  <rowHierarchiesUsage count="1">
    <rowHierarchyUsage hierarchyUsage="13"/>
  </rowHierarchiesUsage>
  <colHierarchiesUsage count="2">
    <colHierarchyUsage hierarchyUsage="15"/>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bl_Task_Clea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6C3887-A82F-46BE-82F8-584FCE45F1C6}" name="PivotTable6"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4:B50" firstHeaderRow="1" firstDataRow="1" firstDataCol="1"/>
  <pivotFields count="26">
    <pivotField showAll="0"/>
    <pivotField showAll="0"/>
    <pivotField showAll="0"/>
    <pivotField showAll="0"/>
    <pivotField showAll="0">
      <items count="9">
        <item h="1" x="0"/>
        <item x="7"/>
        <item x="2"/>
        <item x="3"/>
        <item h="1" x="1"/>
        <item x="5"/>
        <item h="1" x="6"/>
        <item h="1" x="4"/>
        <item t="default"/>
      </items>
    </pivotField>
    <pivotField axis="axisRow" showAll="0" measureFilter="1">
      <items count="29">
        <item x="12"/>
        <item x="14"/>
        <item x="24"/>
        <item x="7"/>
        <item x="23"/>
        <item x="0"/>
        <item x="15"/>
        <item x="8"/>
        <item x="13"/>
        <item x="22"/>
        <item x="3"/>
        <item x="20"/>
        <item x="6"/>
        <item x="16"/>
        <item x="21"/>
        <item x="2"/>
        <item x="25"/>
        <item x="10"/>
        <item x="4"/>
        <item x="11"/>
        <item x="17"/>
        <item x="5"/>
        <item x="9"/>
        <item x="18"/>
        <item x="26"/>
        <item x="1"/>
        <item x="27"/>
        <item x="19"/>
        <item t="default"/>
      </items>
    </pivotField>
    <pivotField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5"/>
  </rowFields>
  <rowItems count="6">
    <i>
      <x v="10"/>
    </i>
    <i>
      <x v="11"/>
    </i>
    <i>
      <x v="15"/>
    </i>
    <i>
      <x v="20"/>
    </i>
    <i>
      <x v="22"/>
    </i>
    <i t="grand">
      <x/>
    </i>
  </rowItems>
  <colItems count="1">
    <i/>
  </colItems>
  <dataFields count="1">
    <dataField name="Sum of Actual_Cost" fld="9" baseField="0" baseItem="0"/>
  </dataFields>
  <formats count="1">
    <format dxfId="367">
      <pivotArea collapsedLevelsAreSubtotals="1" fieldPosition="0">
        <references count="1">
          <reference field="5" count="5">
            <x v="10"/>
            <x v="11"/>
            <x v="15"/>
            <x v="20"/>
            <x v="22"/>
          </reference>
        </references>
      </pivotArea>
    </format>
  </formats>
  <pivotTableStyleInfo name="PivotStyleMedium20"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F2888B-EA99-46A1-994A-D68DC6AC0FFE}" name="PivotTable5"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2:F38" firstHeaderRow="1" firstDataRow="2" firstDataCol="1"/>
  <pivotFields count="26">
    <pivotField showAll="0"/>
    <pivotField showAll="0"/>
    <pivotField showAll="0"/>
    <pivotField showAll="0"/>
    <pivotField axis="axisRow" showAll="0">
      <items count="9">
        <item h="1" x="0"/>
        <item x="7"/>
        <item x="2"/>
        <item x="3"/>
        <item h="1" x="1"/>
        <item x="5"/>
        <item h="1" x="6"/>
        <item h="1" x="4"/>
        <item t="default"/>
      </items>
    </pivotField>
    <pivotField showAll="0"/>
    <pivotField axis="axisCol" showAll="0">
      <items count="5">
        <item x="1"/>
        <item x="2"/>
        <item x="0"/>
        <item x="3"/>
        <item t="default"/>
      </items>
    </pivotField>
    <pivotField showAll="0">
      <items count="9">
        <item x="7"/>
        <item x="2"/>
        <item x="0"/>
        <item x="3"/>
        <item x="1"/>
        <item x="4"/>
        <item x="5"/>
        <item x="6"/>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numFmtId="9" showAll="0"/>
    <pivotField showAll="0"/>
    <pivotField showAll="0"/>
    <pivotField showAll="0"/>
    <pivotField showAll="0"/>
  </pivotFields>
  <rowFields count="1">
    <field x="4"/>
  </rowFields>
  <rowItems count="5">
    <i>
      <x v="1"/>
    </i>
    <i>
      <x v="2"/>
    </i>
    <i>
      <x v="3"/>
    </i>
    <i>
      <x v="5"/>
    </i>
    <i t="grand">
      <x/>
    </i>
  </rowItems>
  <colFields count="1">
    <field x="6"/>
  </colFields>
  <colItems count="5">
    <i>
      <x/>
    </i>
    <i>
      <x v="1"/>
    </i>
    <i>
      <x v="2"/>
    </i>
    <i>
      <x v="3"/>
    </i>
    <i t="grand">
      <x/>
    </i>
  </colItems>
  <dataFields count="1">
    <dataField name="Average of Delay_Days" fld="14" subtotal="average" baseField="4" baseItem="0"/>
  </dataFields>
  <chartFormats count="5">
    <chartFormat chart="7" format="8" series="1">
      <pivotArea type="data" outline="0" fieldPosition="0">
        <references count="2">
          <reference field="4294967294" count="1" selected="0">
            <x v="0"/>
          </reference>
          <reference field="6" count="1" selected="0">
            <x v="0"/>
          </reference>
        </references>
      </pivotArea>
    </chartFormat>
    <chartFormat chart="7" format="9" series="1">
      <pivotArea type="data" outline="0" fieldPosition="0">
        <references count="2">
          <reference field="4294967294" count="1" selected="0">
            <x v="0"/>
          </reference>
          <reference field="6" count="1" selected="0">
            <x v="1"/>
          </reference>
        </references>
      </pivotArea>
    </chartFormat>
    <chartFormat chart="7" format="10" series="1">
      <pivotArea type="data" outline="0" fieldPosition="0">
        <references count="2">
          <reference field="4294967294" count="1" selected="0">
            <x v="0"/>
          </reference>
          <reference field="6" count="1" selected="0">
            <x v="2"/>
          </reference>
        </references>
      </pivotArea>
    </chartFormat>
    <chartFormat chart="7" format="11" series="1">
      <pivotArea type="data" outline="0" fieldPosition="0">
        <references count="2">
          <reference field="4294967294" count="1" selected="0">
            <x v="0"/>
          </reference>
          <reference field="6" count="1" selected="0">
            <x v="3"/>
          </reference>
        </references>
      </pivotArea>
    </chartFormat>
    <chartFormat chart="7" format="12"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93D6A0-AB06-409C-8B0D-F33E90948F6E}"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0:J26" firstHeaderRow="1" firstDataRow="2" firstDataCol="1"/>
  <pivotFields count="26">
    <pivotField dataField="1" showAll="0"/>
    <pivotField showAll="0"/>
    <pivotField showAll="0"/>
    <pivotField showAll="0"/>
    <pivotField axis="axisRow" showAll="0">
      <items count="9">
        <item h="1" x="0"/>
        <item x="7"/>
        <item x="2"/>
        <item x="3"/>
        <item h="1" x="1"/>
        <item x="5"/>
        <item h="1" x="6"/>
        <item h="1" x="4"/>
        <item t="default"/>
      </items>
    </pivotField>
    <pivotField showAll="0"/>
    <pivotField showAll="0">
      <items count="5">
        <item x="1"/>
        <item x="2"/>
        <item x="0"/>
        <item x="3"/>
        <item t="default"/>
      </items>
    </pivotField>
    <pivotField axis="axisCol" showAll="0">
      <items count="9">
        <item x="7"/>
        <item x="2"/>
        <item x="0"/>
        <item x="3"/>
        <item x="1"/>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4"/>
  </rowFields>
  <rowItems count="5">
    <i>
      <x v="1"/>
    </i>
    <i>
      <x v="2"/>
    </i>
    <i>
      <x v="3"/>
    </i>
    <i>
      <x v="5"/>
    </i>
    <i t="grand">
      <x/>
    </i>
  </rowItems>
  <colFields count="1">
    <field x="7"/>
  </colFields>
  <colItems count="9">
    <i>
      <x/>
    </i>
    <i>
      <x v="1"/>
    </i>
    <i>
      <x v="2"/>
    </i>
    <i>
      <x v="3"/>
    </i>
    <i>
      <x v="4"/>
    </i>
    <i>
      <x v="5"/>
    </i>
    <i>
      <x v="6"/>
    </i>
    <i>
      <x v="7"/>
    </i>
    <i t="grand">
      <x/>
    </i>
  </colItems>
  <dataFields count="1">
    <dataField name="Count of Task_ID" fld="0" subtotal="count" baseField="0" baseItem="0"/>
  </dataFields>
  <chartFormats count="9">
    <chartFormat chart="5" format="16" series="1">
      <pivotArea type="data" outline="0" fieldPosition="0">
        <references count="2">
          <reference field="4294967294" count="1" selected="0">
            <x v="0"/>
          </reference>
          <reference field="7" count="1" selected="0">
            <x v="0"/>
          </reference>
        </references>
      </pivotArea>
    </chartFormat>
    <chartFormat chart="5" format="17" series="1">
      <pivotArea type="data" outline="0" fieldPosition="0">
        <references count="2">
          <reference field="4294967294" count="1" selected="0">
            <x v="0"/>
          </reference>
          <reference field="7" count="1" selected="0">
            <x v="1"/>
          </reference>
        </references>
      </pivotArea>
    </chartFormat>
    <chartFormat chart="5" format="18" series="1">
      <pivotArea type="data" outline="0" fieldPosition="0">
        <references count="2">
          <reference field="4294967294" count="1" selected="0">
            <x v="0"/>
          </reference>
          <reference field="7" count="1" selected="0">
            <x v="2"/>
          </reference>
        </references>
      </pivotArea>
    </chartFormat>
    <chartFormat chart="5" format="19" series="1">
      <pivotArea type="data" outline="0" fieldPosition="0">
        <references count="2">
          <reference field="4294967294" count="1" selected="0">
            <x v="0"/>
          </reference>
          <reference field="7" count="1" selected="0">
            <x v="3"/>
          </reference>
        </references>
      </pivotArea>
    </chartFormat>
    <chartFormat chart="5" format="20" series="1">
      <pivotArea type="data" outline="0" fieldPosition="0">
        <references count="2">
          <reference field="4294967294" count="1" selected="0">
            <x v="0"/>
          </reference>
          <reference field="7" count="1" selected="0">
            <x v="4"/>
          </reference>
        </references>
      </pivotArea>
    </chartFormat>
    <chartFormat chart="5" format="21" series="1">
      <pivotArea type="data" outline="0" fieldPosition="0">
        <references count="2">
          <reference field="4294967294" count="1" selected="0">
            <x v="0"/>
          </reference>
          <reference field="7" count="1" selected="0">
            <x v="5"/>
          </reference>
        </references>
      </pivotArea>
    </chartFormat>
    <chartFormat chart="5" format="22" series="1">
      <pivotArea type="data" outline="0" fieldPosition="0">
        <references count="2">
          <reference field="4294967294" count="1" selected="0">
            <x v="0"/>
          </reference>
          <reference field="7" count="1" selected="0">
            <x v="6"/>
          </reference>
        </references>
      </pivotArea>
    </chartFormat>
    <chartFormat chart="5" format="23" series="1">
      <pivotArea type="data" outline="0" fieldPosition="0">
        <references count="2">
          <reference field="4294967294" count="1" selected="0">
            <x v="0"/>
          </reference>
          <reference field="7" count="1" selected="0">
            <x v="7"/>
          </reference>
        </references>
      </pivotArea>
    </chartFormat>
    <chartFormat chart="5" format="24" series="1">
      <pivotArea type="data" outline="0" fieldPosition="0">
        <references count="1">
          <reference field="4294967294" count="1" selected="0">
            <x v="0"/>
          </reference>
        </references>
      </pivotArea>
    </chartFormat>
  </chart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C320FE-0621-46FA-B215-5A6AE0E3730E}" name="PivotTable3" cacheId="25"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A1:C17" firstHeaderRow="0" firstDataRow="1" firstDataCol="1"/>
  <pivotFields count="26">
    <pivotField showAll="0"/>
    <pivotField showAll="0"/>
    <pivotField axis="axisRow" showAll="0">
      <items count="16">
        <item x="14"/>
        <item x="6"/>
        <item x="10"/>
        <item x="4"/>
        <item x="11"/>
        <item x="9"/>
        <item x="8"/>
        <item x="2"/>
        <item x="13"/>
        <item x="7"/>
        <item x="5"/>
        <item x="3"/>
        <item x="12"/>
        <item x="0"/>
        <item x="1"/>
        <item t="default"/>
      </items>
    </pivotField>
    <pivotField showAll="0"/>
    <pivotField showAll="0">
      <items count="9">
        <item h="1" x="0"/>
        <item x="7"/>
        <item x="2"/>
        <item x="3"/>
        <item h="1" x="1"/>
        <item x="5"/>
        <item h="1" x="6"/>
        <item h="1" x="4"/>
        <item t="default"/>
      </items>
    </pivotField>
    <pivotField showAll="0"/>
    <pivotField showAll="0">
      <items count="5">
        <item x="1"/>
        <item x="2"/>
        <item x="0"/>
        <item x="3"/>
        <item t="default"/>
      </items>
    </pivotField>
    <pivotField showAll="0">
      <items count="9">
        <item x="7"/>
        <item x="2"/>
        <item x="0"/>
        <item x="3"/>
        <item x="1"/>
        <item x="4"/>
        <item x="5"/>
        <item x="6"/>
        <item t="default"/>
      </items>
    </pivotField>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numFmtId="9" showAll="0"/>
    <pivotField showAll="0"/>
    <pivotField showAll="0"/>
    <pivotField showAll="0"/>
    <pivotField showAll="0"/>
  </pivotFields>
  <rowFields count="1">
    <field x="2"/>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Sum of Planned_Cost" fld="8" baseField="0" baseItem="0"/>
    <dataField name="Sum of Actual_Cost" fld="9" baseField="0" baseItem="0"/>
  </dataFields>
  <formats count="5">
    <format dxfId="372">
      <pivotArea dataOnly="0" labelOnly="1" outline="0" fieldPosition="0">
        <references count="1">
          <reference field="4294967294" count="1">
            <x v="0"/>
          </reference>
        </references>
      </pivotArea>
    </format>
    <format dxfId="371">
      <pivotArea collapsedLevelsAreSubtotals="1" fieldPosition="0">
        <references count="2">
          <reference field="4294967294" count="1" selected="0">
            <x v="0"/>
          </reference>
          <reference field="2" count="1">
            <x v="1"/>
          </reference>
        </references>
      </pivotArea>
    </format>
    <format dxfId="370">
      <pivotArea collapsedLevelsAreSubtotals="1" fieldPosition="0">
        <references count="2">
          <reference field="4294967294" count="1" selected="0">
            <x v="0"/>
          </reference>
          <reference field="2" count="1">
            <x v="0"/>
          </reference>
        </references>
      </pivotArea>
    </format>
    <format dxfId="369">
      <pivotArea collapsedLevelsAreSubtotals="1" fieldPosition="0">
        <references count="2">
          <reference field="4294967294" count="1" selected="0">
            <x v="0"/>
          </reference>
          <reference field="2" count="13">
            <x v="2"/>
            <x v="3"/>
            <x v="4"/>
            <x v="5"/>
            <x v="6"/>
            <x v="7"/>
            <x v="8"/>
            <x v="9"/>
            <x v="10"/>
            <x v="11"/>
            <x v="12"/>
            <x v="13"/>
            <x v="14"/>
          </reference>
        </references>
      </pivotArea>
    </format>
    <format dxfId="368">
      <pivotArea collapsedLevelsAreSubtotals="1" fieldPosition="0">
        <references count="2">
          <reference field="4294967294" count="1" selected="0">
            <x v="1"/>
          </reference>
          <reference field="2" count="0"/>
        </references>
      </pivotArea>
    </format>
  </format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Dark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ABF76A9-51E7-4CDC-AD0C-8B8040EC8B29}" autoFormatId="16" applyNumberFormats="0" applyBorderFormats="0" applyFontFormats="0" applyPatternFormats="0" applyAlignmentFormats="0" applyWidthHeightFormats="0">
  <queryTableRefresh nextId="7">
    <queryTableFields count="6">
      <queryTableField id="1" name="Project_ID" tableColumnId="1"/>
      <queryTableField id="2" name="Project_Name" tableColumnId="2"/>
      <queryTableField id="3" name="Client" tableColumnId="3"/>
      <queryTableField id="4" name="Project_Manager" tableColumnId="4"/>
      <queryTableField id="5" name="Start_Date" tableColumnId="5"/>
      <queryTableField id="6" name="Budge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1A035476-5789-486D-A3AA-CC6B4AB6259C}" autoFormatId="16" applyNumberFormats="0" applyBorderFormats="0" applyFontFormats="0" applyPatternFormats="0" applyAlignmentFormats="0" applyWidthHeightFormats="0">
  <queryTableRefresh nextId="6">
    <queryTableFields count="5">
      <queryTableField id="1" name="Employee_ID" tableColumnId="1"/>
      <queryTableField id="2" name="Employee_Name" tableColumnId="2"/>
      <queryTableField id="3" name="Department" tableColumnId="3"/>
      <queryTableField id="4" name="Role" tableColumnId="4"/>
      <queryTableField id="5" name="Hourly_Rat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F0141585-2E47-4B52-A262-FA9D9762637E}" autoFormatId="16" applyNumberFormats="0" applyBorderFormats="0" applyFontFormats="0" applyPatternFormats="0" applyAlignmentFormats="0" applyWidthHeightFormats="0">
  <queryTableRefresh nextId="30" unboundColumnsRight="6">
    <queryTableFields count="26">
      <queryTableField id="1" name="Task_ID" tableColumnId="1"/>
      <queryTableField id="2" name="Project_ID" tableColumnId="2"/>
      <queryTableField id="3" name="Project_Name" tableColumnId="3"/>
      <queryTableField id="4" name="Task_Name" tableColumnId="4"/>
      <queryTableField id="5" name="Department" tableColumnId="5"/>
      <queryTableField id="6" name="Assigned_To" tableColumnId="6"/>
      <queryTableField id="7" name="Priority" tableColumnId="7"/>
      <queryTableField id="8" name="Status" tableColumnId="8"/>
      <queryTableField id="9" name="Planned_Cost" tableColumnId="9"/>
      <queryTableField id="10" name="Actual_Cost" tableColumnId="10"/>
      <queryTableField id="11" name="Start_Date" tableColumnId="11"/>
      <queryTableField id="12" name="Planned_End_Date" tableColumnId="12"/>
      <queryTableField id="13" name="Actual_End_Date" tableColumnId="13"/>
      <queryTableField id="14" name="Planned_Duration_Days" tableColumnId="14"/>
      <queryTableField id="15" name="Delay_Days" tableColumnId="15"/>
      <queryTableField id="16" name="Client" tableColumnId="16"/>
      <queryTableField id="17" name="Project_Manager" tableColumnId="17"/>
      <queryTableField id="18" name="Budget" tableColumnId="18"/>
      <queryTableField id="19" name="Employee_Department" tableColumnId="19"/>
      <queryTableField id="20" name="Hourly_Rate" tableColumnId="20"/>
      <queryTableField id="21" dataBound="0" tableColumnId="21"/>
      <queryTableField id="22" dataBound="0" tableColumnId="22"/>
      <queryTableField id="26" dataBound="0" tableColumnId="26"/>
      <queryTableField id="27" dataBound="0" tableColumnId="27"/>
      <queryTableField id="28" dataBound="0" tableColumnId="28"/>
      <queryTableField id="29" dataBound="0" tableColumnId="2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3997C5B8-28CF-4A99-B010-23664CCAF247}" sourceName="Status">
  <pivotTables>
    <pivotTable tabId="6" name="PivotTable4"/>
    <pivotTable tabId="6" name="PivotTable3"/>
    <pivotTable tabId="6" name="PivotTable5"/>
  </pivotTables>
  <data>
    <tabular pivotCacheId="636783382">
      <items count="8">
        <i x="7" s="1"/>
        <i x="2" s="1"/>
        <i x="0" s="1"/>
        <i x="3" s="1"/>
        <i x="1" s="1"/>
        <i x="4" s="1"/>
        <i x="5"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C63EFCB6-6306-4A5B-8D4C-6040308766A4}" sourceName="[tbl_Task_Clean].[Department]">
  <pivotTables>
    <pivotTable tabId="6" name="PivotTable7"/>
  </pivotTables>
  <data>
    <olap pivotCacheId="1907391427">
      <levels count="2">
        <level uniqueName="[tbl_Task_Clean].[Department].[(All)]" sourceCaption="(All)" count="0"/>
        <level uniqueName="[tbl_Task_Clean].[Department].[Department]" sourceCaption="Department" count="8">
          <ranges>
            <range startItem="0">
              <i n="[tbl_Task_Clean].[Department].&amp;" c="(blank)"/>
              <i n="[tbl_Task_Clean].[Department].&amp;[Finance]" c="Finance"/>
              <i n="[tbl_Task_Clean].[Department].&amp;[HR]" c="HR"/>
              <i n="[tbl_Task_Clean].[Department].&amp;[IT]" c="IT"/>
              <i n="[tbl_Task_Clean].[Department].&amp;[Marketing]" c="Marketing"/>
              <i n="[tbl_Task_Clean].[Department].&amp;[Operations]" c="Operations"/>
              <i n="[tbl_Task_Clean].[Department].&amp;[Procurement]" c="Procurement"/>
              <i n="[tbl_Task_Clean].[Department].&amp;[Quality]" c="Quality"/>
            </range>
          </ranges>
        </level>
      </levels>
      <selections count="1">
        <selection n="[tbl_Task_Clean].[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1" xr10:uid="{D7A529E9-5207-49A8-8A9F-16A22DBF08C9}" sourceName="[tbl_Task_Clean].[Priority]">
  <pivotTables>
    <pivotTable tabId="6" name="PivotTable7"/>
  </pivotTables>
  <data>
    <olap pivotCacheId="1907391427">
      <levels count="2">
        <level uniqueName="[tbl_Task_Clean].[Priority].[(All)]" sourceCaption="(All)" count="0"/>
        <level uniqueName="[tbl_Task_Clean].[Priority].[Priority]" sourceCaption="Priority" count="4">
          <ranges>
            <range startItem="0">
              <i n="[tbl_Task_Clean].[Priority].&amp;[High]" c="High"/>
              <i n="[tbl_Task_Clean].[Priority].&amp;[Low]" c="Low"/>
              <i n="[tbl_Task_Clean].[Priority].&amp;[Medium]" c="Medium"/>
              <i n="[tbl_Task_Clean].[Priority].&amp;[Not Set]" c="Not Set"/>
            </range>
          </ranges>
        </level>
      </levels>
      <selections count="1">
        <selection n="[tbl_Task_Clean].[Prior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9681A166-1B44-4CAC-9B20-D40A2AC38E7B}" cache="Slicer_Status" captio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471A57CB-C18D-4238-BBFA-0B1BEF2CF519}" cache="Slicer_Department1" caption="Department" level="1" rowHeight="234950"/>
  <slicer name="Priority 1" xr10:uid="{6D6B57AB-E055-40FD-B36C-C30E2425A058}" cache="Slicer_Priority1" caption="Priority"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AB2D787-E07B-4287-833D-D45C4DEE1A36}" name="tbl_Projects_1" displayName="tbl_Projects_1" ref="A1:F16" tableType="queryTable" totalsRowShown="0">
  <autoFilter ref="A1:F16" xr:uid="{9AB2D787-E07B-4287-833D-D45C4DEE1A36}"/>
  <tableColumns count="6">
    <tableColumn id="1" xr3:uid="{A4504FCC-277C-44B1-B4BB-D49F49869737}" uniqueName="1" name="Project_ID" queryTableFieldId="1" dataDxfId="399"/>
    <tableColumn id="2" xr3:uid="{652E5026-A0B7-4340-83F3-B392199C1BEB}" uniqueName="2" name="Project_Name" queryTableFieldId="2" dataDxfId="398"/>
    <tableColumn id="3" xr3:uid="{AD720DC1-80F3-4415-8FA7-CD9804024F6D}" uniqueName="3" name="Client" queryTableFieldId="3" dataDxfId="397"/>
    <tableColumn id="4" xr3:uid="{54ACF6D9-3888-4F85-A991-B4BDABF45CCE}" uniqueName="4" name="Project_Manager" queryTableFieldId="4" dataDxfId="396"/>
    <tableColumn id="5" xr3:uid="{8E88FB42-9C41-4AF1-945E-A323D07317B7}" uniqueName="5" name="Start_Date" queryTableFieldId="5" dataDxfId="366"/>
    <tableColumn id="6" xr3:uid="{C1ED1719-1AF2-4A9C-A5D7-3DD4AFBCFAAA}" uniqueName="6" name="Budget"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_Projects" displayName="tbl_Projects" ref="A1:F16" totalsRowShown="0">
  <autoFilter ref="A1:F16" xr:uid="{00000000-0009-0000-0100-000002000000}"/>
  <tableColumns count="6">
    <tableColumn id="1" xr3:uid="{00000000-0010-0000-0000-000001000000}" name="Project_ID"/>
    <tableColumn id="2" xr3:uid="{00000000-0010-0000-0000-000002000000}" name="Project_Name"/>
    <tableColumn id="3" xr3:uid="{00000000-0010-0000-0000-000003000000}" name="Client"/>
    <tableColumn id="4" xr3:uid="{00000000-0010-0000-0000-000004000000}" name="Project_Manager"/>
    <tableColumn id="5" xr3:uid="{00000000-0010-0000-0000-000005000000}" name="Start_Date"/>
    <tableColumn id="6" xr3:uid="{00000000-0010-0000-0000-000006000000}" name="Budget"/>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7DD7F0-8D71-4563-B231-DF5E1821018A}" name="tbl_Employees_1" displayName="tbl_Employees_1" ref="A1:E28" tableType="queryTable" totalsRowShown="0">
  <autoFilter ref="A1:E28" xr:uid="{327DD7F0-8D71-4563-B231-DF5E1821018A}"/>
  <tableColumns count="5">
    <tableColumn id="1" xr3:uid="{AE7578A9-FFF9-49FC-8D47-8F77A13F120C}" uniqueName="1" name="Employee_ID" queryTableFieldId="1" dataDxfId="395"/>
    <tableColumn id="2" xr3:uid="{EBE9DE20-AEAF-4353-9964-0DAFFF2F4A97}" uniqueName="2" name="Employee_Name" queryTableFieldId="2" dataDxfId="394"/>
    <tableColumn id="3" xr3:uid="{E37425EE-7D47-44C7-B8A9-9342F4527769}" uniqueName="3" name="Department" queryTableFieldId="3" dataDxfId="393"/>
    <tableColumn id="4" xr3:uid="{1B32B112-B337-4CED-AB07-CA5460071D48}" uniqueName="4" name="Role" queryTableFieldId="4" dataDxfId="392"/>
    <tableColumn id="5" xr3:uid="{604640B3-75C0-41B0-9B1F-93F1F3419FE7}" uniqueName="5" name="Hourly_Rate" queryTableFieldId="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bl_Employees" displayName="tbl_Employees" ref="A1:E28" totalsRowShown="0">
  <autoFilter ref="A1:E28" xr:uid="{00000000-0009-0000-0100-000001000000}"/>
  <tableColumns count="5">
    <tableColumn id="1" xr3:uid="{00000000-0010-0000-0100-000001000000}" name="Employee_ID"/>
    <tableColumn id="2" xr3:uid="{00000000-0010-0000-0100-000002000000}" name="Employee_Name"/>
    <tableColumn id="3" xr3:uid="{00000000-0010-0000-0100-000003000000}" name="Department"/>
    <tableColumn id="4" xr3:uid="{00000000-0010-0000-0100-000004000000}" name="Role"/>
    <tableColumn id="5" xr3:uid="{00000000-0010-0000-0100-000005000000}" name="Hourly_Rate"/>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6041BD-2725-484E-8D8A-9C29C4DFE8E9}" name="tbl_Tasks_Clean" displayName="tbl_Tasks_Clean" ref="A1:Z316" tableType="queryTable" totalsRowShown="0">
  <autoFilter ref="A1:Z316" xr:uid="{2E6041BD-2725-484E-8D8A-9C29C4DFE8E9}"/>
  <tableColumns count="26">
    <tableColumn id="1" xr3:uid="{1AA66966-D15D-4851-8AAF-66BAD1E35BF8}" uniqueName="1" name="Task_ID" queryTableFieldId="1" dataDxfId="413"/>
    <tableColumn id="2" xr3:uid="{808083DE-426E-4792-945C-A6A59E70D0AA}" uniqueName="2" name="Project_ID" queryTableFieldId="2" dataDxfId="412"/>
    <tableColumn id="3" xr3:uid="{F6F7ED16-4C36-48A2-9443-4B52F43525E6}" uniqueName="3" name="Project_Name" queryTableFieldId="3" dataDxfId="411"/>
    <tableColumn id="4" xr3:uid="{7F34CC61-5E28-40CC-AEA9-B836C4D5E3E5}" uniqueName="4" name="Task_Name" queryTableFieldId="4" dataDxfId="410"/>
    <tableColumn id="5" xr3:uid="{3BCC1871-DA62-4B85-AD5E-2B26D23DDB08}" uniqueName="5" name="Department" queryTableFieldId="5" dataDxfId="409"/>
    <tableColumn id="6" xr3:uid="{6CE0E52D-7606-41A9-90F7-E1C46CD0095B}" uniqueName="6" name="Assigned_To" queryTableFieldId="6" dataDxfId="408"/>
    <tableColumn id="7" xr3:uid="{40E0E2A2-E62B-4693-A954-C5287CAA4C35}" uniqueName="7" name="Priority" queryTableFieldId="7" dataDxfId="407"/>
    <tableColumn id="8" xr3:uid="{08587F44-099A-489B-8ACD-756E0701807C}" uniqueName="8" name="Status" queryTableFieldId="8" dataDxfId="406"/>
    <tableColumn id="9" xr3:uid="{7F91E951-8728-4307-BB78-DEE932BE74D0}" uniqueName="9" name="Planned_Cost" queryTableFieldId="9" dataDxfId="405"/>
    <tableColumn id="10" xr3:uid="{575E9DEB-8D26-4221-B572-308189FC1081}" uniqueName="10" name="Actual_Cost" queryTableFieldId="10" dataDxfId="404"/>
    <tableColumn id="11" xr3:uid="{8F4B4428-BD4F-4A54-B730-9C4FF7FA948E}" uniqueName="11" name="Start_Date" queryTableFieldId="11" dataDxfId="365"/>
    <tableColumn id="12" xr3:uid="{2C0C5A6C-E8D4-44DC-B47D-6122C5862B5A}" uniqueName="12" name="Planned_End_Date" queryTableFieldId="12" dataDxfId="364"/>
    <tableColumn id="13" xr3:uid="{B2F08F69-9A41-48B2-8FBD-4002D576BA01}" uniqueName="13" name="Actual_End_Date" queryTableFieldId="13" dataDxfId="363"/>
    <tableColumn id="14" xr3:uid="{E0E551A8-DD7D-4C11-AB56-A9A2B2D5B344}" uniqueName="14" name="Planned_Duration_Days" queryTableFieldId="14"/>
    <tableColumn id="15" xr3:uid="{50B7155E-ADE4-41B8-94E9-A252432087AF}" uniqueName="15" name="Delay_Days" queryTableFieldId="15" dataDxfId="403"/>
    <tableColumn id="16" xr3:uid="{89734D0D-ED11-4EB3-AD18-DADF5EE89E2F}" uniqueName="16" name="Client" queryTableFieldId="16" dataDxfId="402"/>
    <tableColumn id="17" xr3:uid="{CB920A1D-04DD-48D2-9297-546F1413C5FB}" uniqueName="17" name="Project_Manager" queryTableFieldId="17" dataDxfId="401"/>
    <tableColumn id="18" xr3:uid="{12C57581-FE70-4D50-9E93-E08A1D31769C}" uniqueName="18" name="Budget" queryTableFieldId="18"/>
    <tableColumn id="19" xr3:uid="{7C9F3C06-5275-4A9B-8BA5-BBEAC7A81109}" uniqueName="19" name="Employee_Department" queryTableFieldId="19" dataDxfId="400"/>
    <tableColumn id="20" xr3:uid="{03B46311-AF3C-4FF6-9FC1-E8B7EF8D2F29}" uniqueName="20" name="Hourly_Rate" queryTableFieldId="20"/>
    <tableColumn id="21" xr3:uid="{4CCED585-BD68-43A1-9766-8D47CB432497}" uniqueName="21" name="Cost_Variance" queryTableFieldId="21" dataDxfId="362">
      <calculatedColumnFormula>tbl_Tasks_Clean[[#This Row],[Actual_Cost]]-tbl_Tasks_Clean[[#This Row],[Planned_Cost]]</calculatedColumnFormula>
    </tableColumn>
    <tableColumn id="22" xr3:uid="{D5046641-B07F-4DEB-A1F5-279C2243CA10}" uniqueName="22" name="Cost_Variance_%" queryTableFieldId="22" dataDxfId="361" dataCellStyle="Percent">
      <calculatedColumnFormula>IFERROR(tbl_Tasks_Clean[[#This Row],[Cost_Variance]]/tbl_Tasks_Clean[[#This Row],[Planned_Cost]],0)</calculatedColumnFormula>
    </tableColumn>
    <tableColumn id="26" xr3:uid="{E266FFFF-897E-46EC-9F69-AAFA41563B9D}" uniqueName="26" name="On_Flag" queryTableFieldId="26" dataDxfId="373">
      <calculatedColumnFormula>IF(AND(tbl_Tasks_Clean[[#This Row],[Status]]="Completed",tbl_Tasks_Clean[[#This Row],[Delay_Days]]&lt;=0),"On Time",IF(AND(tbl_Tasks_Clean[[#This Row],[Status]]="Completed",tbl_Tasks_Clean[[#This Row],[Delay_Days]]&gt;0),"Late","N/A"))</calculatedColumnFormula>
    </tableColumn>
    <tableColumn id="27" xr3:uid="{B769BF8E-DE50-4BAA-B638-EC4096A490CF}" uniqueName="27" name="Task_Age_Category" queryTableFieldId="27" dataDxfId="360">
      <calculatedColumnFormula array="1">_xlfn.IFS(tbl_Tasks_Clean[[#This Row],[Planned_Duration_Days]]&lt;=7,"Short (&lt;=7 days)",tbl_Tasks_Clean[[#This Row],[Planned_Duration_Days]]&lt;=20,"Medium (8-20 days)",TRUE,"Long (&gt;20 days)")</calculatedColumnFormula>
    </tableColumn>
    <tableColumn id="28" xr3:uid="{1D3916CC-D346-4CDE-8F6A-B639D18196BD}" uniqueName="28" name="Manager_Lookup" queryTableFieldId="28" dataDxfId="359">
      <calculatedColumnFormula>INDEX(Projects!$D:$D,MATCH(tbl_Tasks_Clean[[#This Row],[Project_ID]],Projects!$A:$A,0))</calculatedColumnFormula>
    </tableColumn>
    <tableColumn id="29" xr3:uid="{7FF6522D-81EA-4ECC-AC28-6A0919A5836D}" uniqueName="29" name="Delay_Description" queryTableFieldId="29" dataDxfId="358">
      <calculatedColumnFormula>IF(tbl_Tasks_Clean[[#This Row],[Delay_Days]]&gt;0,"Delayed by "&amp;TEXT(tbl_Tasks_Clean[[#This Row],[Delay_Days]],"0")&amp;" days",IF(tbl_Tasks_Clean[[#This Row],[Delay_Days]]&lt;0,"Early by "&amp;TEXT(-tbl_Tasks_Clean[[#This Row],[Delay_Days]],"0")&amp;" days","On schedule"))</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A906103-2D22-4EE6-B36E-6FED2E8F0A5A}" name="Table3" displayName="Table3" ref="A1:M331" totalsRowShown="0" headerRowDxfId="391" dataDxfId="389" headerRowBorderDxfId="390" tableBorderDxfId="388" totalsRowBorderDxfId="387">
  <autoFilter ref="A1:M331" xr:uid="{BA906103-2D22-4EE6-B36E-6FED2E8F0A5A}"/>
  <tableColumns count="13">
    <tableColumn id="1" xr3:uid="{37F7DCD8-6FB4-4A8F-A8F2-167BE20A3255}" name="Task_ID" dataDxfId="386"/>
    <tableColumn id="2" xr3:uid="{31ED5CDB-1D2B-434B-A313-D5ECA8394AB1}" name="Project_ID" dataDxfId="385"/>
    <tableColumn id="3" xr3:uid="{B4E5C36F-F74C-4DFF-84F4-D380AE1D2D56}" name="Project_Name" dataDxfId="384"/>
    <tableColumn id="4" xr3:uid="{1271EFE7-18EF-4A42-ADCC-EDA5A4E7AB37}" name="Task_Name" dataDxfId="383"/>
    <tableColumn id="5" xr3:uid="{A29A56B1-70B6-49DA-A39E-B60EEBCB5460}" name="Department" dataDxfId="382"/>
    <tableColumn id="6" xr3:uid="{D9A77C93-4693-4304-918F-4294C18C6586}" name="Assigned_To" dataDxfId="381"/>
    <tableColumn id="7" xr3:uid="{92D4A17E-CC97-4430-8AAC-1B47F232C7EC}" name="Priority" dataDxfId="380"/>
    <tableColumn id="8" xr3:uid="{CEB5895F-A55D-4B55-ABC1-332545F4243C}" name="Status" dataDxfId="379"/>
    <tableColumn id="9" xr3:uid="{2CD5FCF3-6F26-449A-BED4-7E3EDCFE57AB}" name="Start_Date" dataDxfId="378"/>
    <tableColumn id="10" xr3:uid="{46739744-C70D-4673-9143-97B8EEBF3B07}" name="Planned_End_Date" dataDxfId="377"/>
    <tableColumn id="11" xr3:uid="{E54ADB76-48AE-4A01-BEF3-80979A640672}" name="Actual_End_Date" dataDxfId="376"/>
    <tableColumn id="12" xr3:uid="{B7A9CF26-CBE9-421E-B4DA-9FA7CB4DEB1F}" name="Planned_Cost" dataDxfId="375"/>
    <tableColumn id="13" xr3:uid="{6D05611E-DF1E-4315-9B85-5E664CF25350}" name="Actual_Cost" dataDxfId="37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K81"/>
  <sheetViews>
    <sheetView showGridLines="0" topLeftCell="I62" zoomScaleNormal="100" workbookViewId="0">
      <selection activeCell="C43" sqref="C43:J47"/>
    </sheetView>
  </sheetViews>
  <sheetFormatPr defaultColWidth="8.6640625" defaultRowHeight="14.4" x14ac:dyDescent="0.3"/>
  <cols>
    <col min="1" max="1" width="3" customWidth="1"/>
    <col min="2" max="2" width="15.21875" customWidth="1"/>
    <col min="3" max="3" width="188.44140625" customWidth="1"/>
    <col min="4" max="4" width="16" customWidth="1"/>
    <col min="5" max="5" width="12" customWidth="1"/>
    <col min="6" max="9" width="10" customWidth="1"/>
    <col min="10" max="10" width="15.88671875" customWidth="1"/>
    <col min="11" max="11" width="10" customWidth="1"/>
  </cols>
  <sheetData>
    <row r="1" spans="2:11" ht="15" customHeight="1" x14ac:dyDescent="0.3"/>
    <row r="2" spans="2:11" ht="15" customHeight="1" x14ac:dyDescent="0.4">
      <c r="B2" s="23" t="s">
        <v>0</v>
      </c>
      <c r="C2" s="23"/>
      <c r="D2" s="23"/>
      <c r="E2" s="23"/>
      <c r="F2" s="23"/>
      <c r="G2" s="23"/>
      <c r="H2" s="23"/>
      <c r="I2" s="23"/>
      <c r="J2" s="23"/>
      <c r="K2" s="23"/>
    </row>
    <row r="3" spans="2:11" ht="15" customHeight="1" x14ac:dyDescent="0.3">
      <c r="B3" s="24" t="s">
        <v>1432</v>
      </c>
      <c r="C3" s="24"/>
      <c r="D3" s="24"/>
      <c r="E3" s="24"/>
      <c r="F3" s="24"/>
      <c r="G3" s="24"/>
      <c r="H3" s="24"/>
      <c r="I3" s="24"/>
      <c r="J3" s="24"/>
      <c r="K3" s="24"/>
    </row>
    <row r="4" spans="2:11" ht="15" customHeight="1" x14ac:dyDescent="0.3"/>
    <row r="5" spans="2:11" ht="15" customHeight="1" x14ac:dyDescent="0.3">
      <c r="B5" s="1" t="s">
        <v>1</v>
      </c>
    </row>
    <row r="6" spans="2:11" ht="15" customHeight="1" x14ac:dyDescent="0.3">
      <c r="B6" s="25" t="s">
        <v>2</v>
      </c>
      <c r="C6" s="25"/>
      <c r="D6" s="25"/>
      <c r="E6" s="25"/>
      <c r="F6" s="25"/>
      <c r="G6" s="25"/>
      <c r="H6" s="25"/>
      <c r="I6" s="25"/>
      <c r="J6" s="25"/>
    </row>
    <row r="7" spans="2:11" ht="15" customHeight="1" x14ac:dyDescent="0.3">
      <c r="B7" s="25"/>
      <c r="C7" s="25"/>
      <c r="D7" s="25"/>
      <c r="E7" s="25"/>
      <c r="F7" s="25"/>
      <c r="G7" s="25"/>
      <c r="H7" s="25"/>
      <c r="I7" s="25"/>
      <c r="J7" s="25"/>
    </row>
    <row r="8" spans="2:11" ht="15" customHeight="1" x14ac:dyDescent="0.3">
      <c r="B8" s="25"/>
      <c r="C8" s="25"/>
      <c r="D8" s="25"/>
      <c r="E8" s="25"/>
      <c r="F8" s="25"/>
      <c r="G8" s="25"/>
      <c r="H8" s="25"/>
      <c r="I8" s="25"/>
      <c r="J8" s="25"/>
    </row>
    <row r="9" spans="2:11" ht="15" customHeight="1" x14ac:dyDescent="0.3"/>
    <row r="10" spans="2:11" ht="15" customHeight="1" x14ac:dyDescent="0.3">
      <c r="B10" s="1" t="s">
        <v>3</v>
      </c>
    </row>
    <row r="11" spans="2:11" ht="15" customHeight="1" x14ac:dyDescent="0.3">
      <c r="B11" s="2" t="s">
        <v>4</v>
      </c>
      <c r="D11" s="26" t="s">
        <v>5</v>
      </c>
      <c r="E11" s="26"/>
      <c r="F11" s="26"/>
      <c r="G11" s="26"/>
      <c r="H11" s="26"/>
      <c r="I11" s="26"/>
      <c r="J11" s="26"/>
    </row>
    <row r="12" spans="2:11" ht="15" customHeight="1" x14ac:dyDescent="0.3">
      <c r="B12" s="2" t="s">
        <v>6</v>
      </c>
      <c r="D12" s="26" t="s">
        <v>7</v>
      </c>
      <c r="E12" s="26"/>
      <c r="F12" s="26"/>
      <c r="G12" s="26"/>
      <c r="H12" s="26"/>
      <c r="I12" s="26"/>
      <c r="J12" s="26"/>
    </row>
    <row r="13" spans="2:11" ht="15" customHeight="1" x14ac:dyDescent="0.3">
      <c r="B13" s="2" t="s">
        <v>8</v>
      </c>
      <c r="D13" s="26" t="s">
        <v>9</v>
      </c>
      <c r="E13" s="26"/>
      <c r="F13" s="26"/>
      <c r="G13" s="26"/>
      <c r="H13" s="26"/>
      <c r="I13" s="26"/>
      <c r="J13" s="26"/>
    </row>
    <row r="14" spans="2:11" ht="15" customHeight="1" x14ac:dyDescent="0.3">
      <c r="B14" s="2" t="s">
        <v>10</v>
      </c>
      <c r="D14" s="26" t="s">
        <v>11</v>
      </c>
      <c r="E14" s="26"/>
      <c r="F14" s="26"/>
      <c r="G14" s="26"/>
      <c r="H14" s="26"/>
      <c r="I14" s="26"/>
      <c r="J14" s="26"/>
    </row>
    <row r="15" spans="2:11" ht="15" customHeight="1" x14ac:dyDescent="0.3">
      <c r="B15" s="2" t="s">
        <v>12</v>
      </c>
      <c r="D15" s="26" t="s">
        <v>13</v>
      </c>
      <c r="E15" s="26"/>
      <c r="F15" s="26"/>
      <c r="G15" s="26"/>
      <c r="H15" s="26"/>
      <c r="I15" s="26"/>
      <c r="J15" s="26"/>
    </row>
    <row r="16" spans="2:11" ht="15" customHeight="1" x14ac:dyDescent="0.3">
      <c r="B16" s="2" t="s">
        <v>14</v>
      </c>
      <c r="D16" s="26" t="s">
        <v>15</v>
      </c>
      <c r="E16" s="26"/>
      <c r="F16" s="26"/>
      <c r="G16" s="26"/>
      <c r="H16" s="26"/>
      <c r="I16" s="26"/>
      <c r="J16" s="26"/>
    </row>
    <row r="17" spans="2:10" ht="15" customHeight="1" x14ac:dyDescent="0.3">
      <c r="B17" s="2" t="s">
        <v>16</v>
      </c>
      <c r="D17" s="26" t="s">
        <v>17</v>
      </c>
      <c r="E17" s="26"/>
      <c r="F17" s="26"/>
      <c r="G17" s="26"/>
      <c r="H17" s="26"/>
      <c r="I17" s="26"/>
      <c r="J17" s="26"/>
    </row>
    <row r="18" spans="2:10" ht="15" customHeight="1" x14ac:dyDescent="0.3"/>
    <row r="19" spans="2:10" ht="19.5" customHeight="1" x14ac:dyDescent="0.3">
      <c r="B19" s="27" t="s">
        <v>18</v>
      </c>
      <c r="C19" s="27"/>
      <c r="D19" s="27"/>
      <c r="E19" s="27"/>
      <c r="F19" s="27"/>
      <c r="G19" s="27"/>
      <c r="H19" s="27"/>
      <c r="I19" s="27"/>
      <c r="J19" s="27"/>
    </row>
    <row r="20" spans="2:10" ht="15" customHeight="1" x14ac:dyDescent="0.3">
      <c r="B20" s="3" t="s">
        <v>19</v>
      </c>
      <c r="C20" s="25" t="s">
        <v>20</v>
      </c>
      <c r="D20" s="25"/>
      <c r="E20" s="25"/>
      <c r="F20" s="25"/>
      <c r="G20" s="25"/>
      <c r="H20" s="25"/>
      <c r="I20" s="25"/>
      <c r="J20" s="25"/>
    </row>
    <row r="21" spans="2:10" ht="15" customHeight="1" x14ac:dyDescent="0.3">
      <c r="B21" s="3" t="s">
        <v>19</v>
      </c>
      <c r="C21" s="25" t="s">
        <v>21</v>
      </c>
      <c r="D21" s="25"/>
      <c r="E21" s="25"/>
      <c r="F21" s="25"/>
      <c r="G21" s="25"/>
      <c r="H21" s="25"/>
      <c r="I21" s="25"/>
      <c r="J21" s="25"/>
    </row>
    <row r="22" spans="2:10" ht="15" customHeight="1" x14ac:dyDescent="0.3">
      <c r="B22" s="3" t="s">
        <v>19</v>
      </c>
      <c r="C22" s="25" t="s">
        <v>22</v>
      </c>
      <c r="D22" s="25"/>
      <c r="E22" s="25"/>
      <c r="F22" s="25"/>
      <c r="G22" s="25"/>
      <c r="H22" s="25"/>
      <c r="I22" s="25"/>
      <c r="J22" s="25"/>
    </row>
    <row r="23" spans="2:10" ht="15" customHeight="1" x14ac:dyDescent="0.3">
      <c r="B23" s="3" t="s">
        <v>19</v>
      </c>
      <c r="C23" s="25" t="s">
        <v>23</v>
      </c>
      <c r="D23" s="25"/>
      <c r="E23" s="25"/>
      <c r="F23" s="25"/>
      <c r="G23" s="25"/>
      <c r="H23" s="25"/>
      <c r="I23" s="25"/>
      <c r="J23" s="25"/>
    </row>
    <row r="24" spans="2:10" ht="15" customHeight="1" x14ac:dyDescent="0.3">
      <c r="B24" s="3" t="s">
        <v>19</v>
      </c>
      <c r="C24" s="25" t="s">
        <v>24</v>
      </c>
      <c r="D24" s="25"/>
      <c r="E24" s="25"/>
      <c r="F24" s="25"/>
      <c r="G24" s="25"/>
      <c r="H24" s="25"/>
      <c r="I24" s="25"/>
      <c r="J24" s="25"/>
    </row>
    <row r="25" spans="2:10" ht="15" customHeight="1" x14ac:dyDescent="0.3">
      <c r="B25" s="3" t="s">
        <v>19</v>
      </c>
      <c r="C25" s="25" t="s">
        <v>25</v>
      </c>
      <c r="D25" s="25"/>
      <c r="E25" s="25"/>
      <c r="F25" s="25"/>
      <c r="G25" s="25"/>
      <c r="H25" s="25"/>
      <c r="I25" s="25"/>
      <c r="J25" s="25"/>
    </row>
    <row r="26" spans="2:10" ht="15" customHeight="1" x14ac:dyDescent="0.3">
      <c r="B26" s="3" t="s">
        <v>19</v>
      </c>
      <c r="C26" s="25" t="s">
        <v>26</v>
      </c>
      <c r="D26" s="25"/>
      <c r="E26" s="25"/>
      <c r="F26" s="25"/>
      <c r="G26" s="25"/>
      <c r="H26" s="25"/>
      <c r="I26" s="25"/>
      <c r="J26" s="25"/>
    </row>
    <row r="27" spans="2:10" ht="15" customHeight="1" x14ac:dyDescent="0.3">
      <c r="B27" s="3" t="s">
        <v>19</v>
      </c>
      <c r="C27" s="25" t="s">
        <v>27</v>
      </c>
      <c r="D27" s="25"/>
      <c r="E27" s="25"/>
      <c r="F27" s="25"/>
      <c r="G27" s="25"/>
      <c r="H27" s="25"/>
      <c r="I27" s="25"/>
      <c r="J27" s="25"/>
    </row>
    <row r="28" spans="2:10" ht="15" customHeight="1" x14ac:dyDescent="0.3">
      <c r="B28" s="3" t="s">
        <v>19</v>
      </c>
      <c r="C28" s="25" t="s">
        <v>28</v>
      </c>
      <c r="D28" s="25"/>
      <c r="E28" s="25"/>
      <c r="F28" s="25"/>
      <c r="G28" s="25"/>
      <c r="H28" s="25"/>
      <c r="I28" s="25"/>
      <c r="J28" s="25"/>
    </row>
    <row r="29" spans="2:10" ht="15" customHeight="1" x14ac:dyDescent="0.3">
      <c r="B29" s="3" t="s">
        <v>19</v>
      </c>
      <c r="C29" s="25" t="s">
        <v>29</v>
      </c>
      <c r="D29" s="25"/>
      <c r="E29" s="25"/>
      <c r="F29" s="25"/>
      <c r="G29" s="25"/>
      <c r="H29" s="25"/>
      <c r="I29" s="25"/>
      <c r="J29" s="25"/>
    </row>
    <row r="30" spans="2:10" ht="15" customHeight="1" x14ac:dyDescent="0.3">
      <c r="B30" s="3" t="s">
        <v>19</v>
      </c>
      <c r="C30" s="25" t="s">
        <v>30</v>
      </c>
      <c r="D30" s="25"/>
      <c r="E30" s="25"/>
      <c r="F30" s="25"/>
      <c r="G30" s="25"/>
      <c r="H30" s="25"/>
      <c r="I30" s="25"/>
      <c r="J30" s="25"/>
    </row>
    <row r="31" spans="2:10" ht="15" customHeight="1" x14ac:dyDescent="0.3">
      <c r="B31" s="3" t="s">
        <v>19</v>
      </c>
      <c r="C31" s="25" t="s">
        <v>31</v>
      </c>
      <c r="D31" s="25"/>
      <c r="E31" s="25"/>
      <c r="F31" s="25"/>
      <c r="G31" s="25"/>
      <c r="H31" s="25"/>
      <c r="I31" s="25"/>
      <c r="J31" s="25"/>
    </row>
    <row r="32" spans="2:10" ht="15" customHeight="1" x14ac:dyDescent="0.3">
      <c r="B32" s="3" t="s">
        <v>19</v>
      </c>
      <c r="C32" s="25" t="s">
        <v>32</v>
      </c>
      <c r="D32" s="25"/>
      <c r="E32" s="25"/>
      <c r="F32" s="25"/>
      <c r="G32" s="25"/>
      <c r="H32" s="25"/>
      <c r="I32" s="25"/>
      <c r="J32" s="25"/>
    </row>
    <row r="33" spans="2:10" ht="15" customHeight="1" x14ac:dyDescent="0.3">
      <c r="B33" s="3" t="s">
        <v>19</v>
      </c>
      <c r="C33" s="25" t="s">
        <v>33</v>
      </c>
      <c r="D33" s="25"/>
      <c r="E33" s="25"/>
      <c r="F33" s="25"/>
      <c r="G33" s="25"/>
      <c r="H33" s="25"/>
      <c r="I33" s="25"/>
      <c r="J33" s="25"/>
    </row>
    <row r="34" spans="2:10" ht="15" customHeight="1" x14ac:dyDescent="0.3">
      <c r="B34" s="3" t="s">
        <v>19</v>
      </c>
      <c r="C34" s="25" t="s">
        <v>34</v>
      </c>
      <c r="D34" s="25"/>
      <c r="E34" s="25"/>
      <c r="F34" s="25"/>
      <c r="G34" s="25"/>
      <c r="H34" s="25"/>
      <c r="I34" s="25"/>
      <c r="J34" s="25"/>
    </row>
    <row r="35" spans="2:10" ht="15" customHeight="1" x14ac:dyDescent="0.3"/>
    <row r="36" spans="2:10" ht="19.5" customHeight="1" x14ac:dyDescent="0.3">
      <c r="B36" s="27" t="s">
        <v>35</v>
      </c>
      <c r="C36" s="27"/>
      <c r="D36" s="27"/>
      <c r="E36" s="27"/>
      <c r="F36" s="27"/>
      <c r="G36" s="27"/>
      <c r="H36" s="27"/>
      <c r="I36" s="27"/>
      <c r="J36" s="27"/>
    </row>
    <row r="37" spans="2:10" ht="15" customHeight="1" x14ac:dyDescent="0.3">
      <c r="B37" s="3" t="s">
        <v>19</v>
      </c>
      <c r="C37" s="25" t="s">
        <v>36</v>
      </c>
      <c r="D37" s="25"/>
      <c r="E37" s="25"/>
      <c r="F37" s="25"/>
      <c r="G37" s="25"/>
      <c r="H37" s="25"/>
      <c r="I37" s="25"/>
      <c r="J37" s="25"/>
    </row>
    <row r="38" spans="2:10" ht="15" customHeight="1" x14ac:dyDescent="0.3">
      <c r="B38" s="3" t="s">
        <v>19</v>
      </c>
      <c r="C38" s="25" t="s">
        <v>37</v>
      </c>
      <c r="D38" s="25"/>
      <c r="E38" s="25"/>
      <c r="F38" s="25"/>
      <c r="G38" s="25"/>
      <c r="H38" s="25"/>
      <c r="I38" s="25"/>
      <c r="J38" s="25"/>
    </row>
    <row r="39" spans="2:10" ht="15" customHeight="1" x14ac:dyDescent="0.3">
      <c r="B39" s="3" t="s">
        <v>19</v>
      </c>
      <c r="C39" s="25" t="s">
        <v>38</v>
      </c>
      <c r="D39" s="25"/>
      <c r="E39" s="25"/>
      <c r="F39" s="25"/>
      <c r="G39" s="25"/>
      <c r="H39" s="25"/>
      <c r="I39" s="25"/>
      <c r="J39" s="25"/>
    </row>
    <row r="40" spans="2:10" ht="15" customHeight="1" x14ac:dyDescent="0.3">
      <c r="B40" s="3" t="s">
        <v>19</v>
      </c>
      <c r="C40" s="25" t="s">
        <v>39</v>
      </c>
      <c r="D40" s="25"/>
      <c r="E40" s="25"/>
      <c r="F40" s="25"/>
      <c r="G40" s="25"/>
      <c r="H40" s="25"/>
      <c r="I40" s="25"/>
      <c r="J40" s="25"/>
    </row>
    <row r="41" spans="2:10" ht="15" customHeight="1" x14ac:dyDescent="0.3">
      <c r="B41" s="3" t="s">
        <v>19</v>
      </c>
      <c r="C41" s="25" t="s">
        <v>40</v>
      </c>
      <c r="D41" s="25"/>
      <c r="E41" s="25"/>
      <c r="F41" s="25"/>
      <c r="G41" s="25"/>
      <c r="H41" s="25"/>
      <c r="I41" s="25"/>
      <c r="J41" s="25"/>
    </row>
    <row r="42" spans="2:10" ht="15" customHeight="1" x14ac:dyDescent="0.3">
      <c r="B42" s="3" t="s">
        <v>19</v>
      </c>
      <c r="C42" s="25" t="s">
        <v>41</v>
      </c>
      <c r="D42" s="25"/>
      <c r="E42" s="25"/>
      <c r="F42" s="25"/>
      <c r="G42" s="25"/>
      <c r="H42" s="25"/>
      <c r="I42" s="25"/>
      <c r="J42" s="25"/>
    </row>
    <row r="43" spans="2:10" ht="15" customHeight="1" x14ac:dyDescent="0.3">
      <c r="B43" s="3" t="s">
        <v>19</v>
      </c>
      <c r="C43" s="25" t="s">
        <v>42</v>
      </c>
      <c r="D43" s="25"/>
      <c r="E43" s="25"/>
      <c r="F43" s="25"/>
      <c r="G43" s="25"/>
      <c r="H43" s="25"/>
      <c r="I43" s="25"/>
      <c r="J43" s="25"/>
    </row>
    <row r="44" spans="2:10" ht="15" customHeight="1" x14ac:dyDescent="0.3">
      <c r="B44" s="3" t="s">
        <v>19</v>
      </c>
      <c r="C44" s="25" t="s">
        <v>43</v>
      </c>
      <c r="D44" s="25"/>
      <c r="E44" s="25"/>
      <c r="F44" s="25"/>
      <c r="G44" s="25"/>
      <c r="H44" s="25"/>
      <c r="I44" s="25"/>
      <c r="J44" s="25"/>
    </row>
    <row r="45" spans="2:10" ht="15" customHeight="1" x14ac:dyDescent="0.3">
      <c r="B45" s="3" t="s">
        <v>19</v>
      </c>
      <c r="C45" s="25" t="s">
        <v>44</v>
      </c>
      <c r="D45" s="25"/>
      <c r="E45" s="25"/>
      <c r="F45" s="25"/>
      <c r="G45" s="25"/>
      <c r="H45" s="25"/>
      <c r="I45" s="25"/>
      <c r="J45" s="25"/>
    </row>
    <row r="46" spans="2:10" ht="15" customHeight="1" x14ac:dyDescent="0.3">
      <c r="B46" s="3" t="s">
        <v>19</v>
      </c>
      <c r="C46" s="25" t="s">
        <v>45</v>
      </c>
      <c r="D46" s="25"/>
      <c r="E46" s="25"/>
      <c r="F46" s="25"/>
      <c r="G46" s="25"/>
      <c r="H46" s="25"/>
      <c r="I46" s="25"/>
      <c r="J46" s="25"/>
    </row>
    <row r="47" spans="2:10" ht="15" customHeight="1" x14ac:dyDescent="0.3">
      <c r="B47" s="3" t="s">
        <v>19</v>
      </c>
      <c r="C47" s="25" t="s">
        <v>46</v>
      </c>
      <c r="D47" s="25"/>
      <c r="E47" s="25"/>
      <c r="F47" s="25"/>
      <c r="G47" s="25"/>
      <c r="H47" s="25"/>
      <c r="I47" s="25"/>
      <c r="J47" s="25"/>
    </row>
    <row r="48" spans="2:10" ht="15" customHeight="1" x14ac:dyDescent="0.3"/>
    <row r="49" spans="2:10" ht="19.5" customHeight="1" x14ac:dyDescent="0.3">
      <c r="B49" s="27" t="s">
        <v>47</v>
      </c>
      <c r="C49" s="27"/>
      <c r="D49" s="27"/>
      <c r="E49" s="27"/>
      <c r="F49" s="27"/>
      <c r="G49" s="27"/>
      <c r="H49" s="27"/>
      <c r="I49" s="27"/>
      <c r="J49" s="27"/>
    </row>
    <row r="50" spans="2:10" ht="15" customHeight="1" x14ac:dyDescent="0.3">
      <c r="B50" s="3" t="s">
        <v>19</v>
      </c>
      <c r="C50" s="25" t="s">
        <v>48</v>
      </c>
      <c r="D50" s="25"/>
      <c r="E50" s="25"/>
      <c r="F50" s="25"/>
      <c r="G50" s="25"/>
      <c r="H50" s="25"/>
      <c r="I50" s="25"/>
      <c r="J50" s="25"/>
    </row>
    <row r="51" spans="2:10" ht="15" customHeight="1" x14ac:dyDescent="0.3">
      <c r="B51" s="3" t="s">
        <v>19</v>
      </c>
      <c r="C51" s="25" t="s">
        <v>49</v>
      </c>
      <c r="D51" s="25"/>
      <c r="E51" s="25"/>
      <c r="F51" s="25"/>
      <c r="G51" s="25"/>
      <c r="H51" s="25"/>
      <c r="I51" s="25"/>
      <c r="J51" s="25"/>
    </row>
    <row r="52" spans="2:10" ht="15" customHeight="1" x14ac:dyDescent="0.3">
      <c r="B52" s="3" t="s">
        <v>19</v>
      </c>
      <c r="C52" s="25" t="s">
        <v>50</v>
      </c>
      <c r="D52" s="25"/>
      <c r="E52" s="25"/>
      <c r="F52" s="25"/>
      <c r="G52" s="25"/>
      <c r="H52" s="25"/>
      <c r="I52" s="25"/>
      <c r="J52" s="25"/>
    </row>
    <row r="53" spans="2:10" ht="15" customHeight="1" x14ac:dyDescent="0.3">
      <c r="B53" s="3" t="s">
        <v>19</v>
      </c>
      <c r="C53" s="25" t="s">
        <v>51</v>
      </c>
      <c r="D53" s="25"/>
      <c r="E53" s="25"/>
      <c r="F53" s="25"/>
      <c r="G53" s="25"/>
      <c r="H53" s="25"/>
      <c r="I53" s="25"/>
      <c r="J53" s="25"/>
    </row>
    <row r="54" spans="2:10" ht="15" customHeight="1" x14ac:dyDescent="0.3">
      <c r="B54" s="3" t="s">
        <v>19</v>
      </c>
      <c r="C54" s="25" t="s">
        <v>52</v>
      </c>
      <c r="D54" s="25"/>
      <c r="E54" s="25"/>
      <c r="F54" s="25"/>
      <c r="G54" s="25"/>
      <c r="H54" s="25"/>
      <c r="I54" s="25"/>
      <c r="J54" s="25"/>
    </row>
    <row r="55" spans="2:10" ht="15" customHeight="1" x14ac:dyDescent="0.3">
      <c r="B55" s="3" t="s">
        <v>19</v>
      </c>
      <c r="C55" s="25" t="s">
        <v>53</v>
      </c>
      <c r="D55" s="25"/>
      <c r="E55" s="25"/>
      <c r="F55" s="25"/>
      <c r="G55" s="25"/>
      <c r="H55" s="25"/>
      <c r="I55" s="25"/>
      <c r="J55" s="25"/>
    </row>
    <row r="56" spans="2:10" ht="15" customHeight="1" x14ac:dyDescent="0.3">
      <c r="B56" s="3" t="s">
        <v>19</v>
      </c>
      <c r="C56" s="25" t="s">
        <v>54</v>
      </c>
      <c r="D56" s="25"/>
      <c r="E56" s="25"/>
      <c r="F56" s="25"/>
      <c r="G56" s="25"/>
      <c r="H56" s="25"/>
      <c r="I56" s="25"/>
      <c r="J56" s="25"/>
    </row>
    <row r="57" spans="2:10" ht="15" customHeight="1" x14ac:dyDescent="0.3"/>
    <row r="58" spans="2:10" ht="19.5" customHeight="1" x14ac:dyDescent="0.3">
      <c r="B58" s="27" t="s">
        <v>55</v>
      </c>
      <c r="C58" s="27"/>
      <c r="D58" s="27"/>
      <c r="E58" s="27"/>
      <c r="F58" s="27"/>
      <c r="G58" s="27"/>
      <c r="H58" s="27"/>
      <c r="I58" s="27"/>
      <c r="J58" s="27"/>
    </row>
    <row r="59" spans="2:10" ht="15" customHeight="1" x14ac:dyDescent="0.3">
      <c r="B59" s="3" t="s">
        <v>19</v>
      </c>
      <c r="C59" s="25" t="s">
        <v>56</v>
      </c>
      <c r="D59" s="25"/>
      <c r="E59" s="25"/>
      <c r="F59" s="25"/>
      <c r="G59" s="25"/>
      <c r="H59" s="25"/>
      <c r="I59" s="25"/>
      <c r="J59" s="25"/>
    </row>
    <row r="60" spans="2:10" ht="15" customHeight="1" x14ac:dyDescent="0.3">
      <c r="B60" s="3" t="s">
        <v>19</v>
      </c>
      <c r="C60" s="25" t="s">
        <v>57</v>
      </c>
      <c r="D60" s="25"/>
      <c r="E60" s="25"/>
      <c r="F60" s="25"/>
      <c r="G60" s="25"/>
      <c r="H60" s="25"/>
      <c r="I60" s="25"/>
      <c r="J60" s="25"/>
    </row>
    <row r="61" spans="2:10" ht="15" customHeight="1" x14ac:dyDescent="0.3">
      <c r="B61" s="3" t="s">
        <v>19</v>
      </c>
      <c r="C61" s="25" t="s">
        <v>58</v>
      </c>
      <c r="D61" s="25"/>
      <c r="E61" s="25"/>
      <c r="F61" s="25"/>
      <c r="G61" s="25"/>
      <c r="H61" s="25"/>
      <c r="I61" s="25"/>
      <c r="J61" s="25"/>
    </row>
    <row r="62" spans="2:10" ht="15" customHeight="1" x14ac:dyDescent="0.3">
      <c r="B62" s="3" t="s">
        <v>19</v>
      </c>
      <c r="C62" s="25" t="s">
        <v>59</v>
      </c>
      <c r="D62" s="25"/>
      <c r="E62" s="25"/>
      <c r="F62" s="25"/>
      <c r="G62" s="25"/>
      <c r="H62" s="25"/>
      <c r="I62" s="25"/>
      <c r="J62" s="25"/>
    </row>
    <row r="63" spans="2:10" ht="15" customHeight="1" x14ac:dyDescent="0.3">
      <c r="B63" s="3" t="s">
        <v>19</v>
      </c>
      <c r="C63" s="25" t="s">
        <v>60</v>
      </c>
      <c r="D63" s="25"/>
      <c r="E63" s="25"/>
      <c r="F63" s="25"/>
      <c r="G63" s="25"/>
      <c r="H63" s="25"/>
      <c r="I63" s="25"/>
      <c r="J63" s="25"/>
    </row>
    <row r="64" spans="2:10" ht="15" customHeight="1" x14ac:dyDescent="0.3">
      <c r="B64" s="3" t="s">
        <v>19</v>
      </c>
      <c r="C64" s="25" t="s">
        <v>61</v>
      </c>
      <c r="D64" s="25"/>
      <c r="E64" s="25"/>
      <c r="F64" s="25"/>
      <c r="G64" s="25"/>
      <c r="H64" s="25"/>
      <c r="I64" s="25"/>
      <c r="J64" s="25"/>
    </row>
    <row r="65" spans="2:10" ht="15" customHeight="1" x14ac:dyDescent="0.3">
      <c r="B65" s="3" t="s">
        <v>19</v>
      </c>
      <c r="C65" s="25" t="s">
        <v>62</v>
      </c>
      <c r="D65" s="25"/>
      <c r="E65" s="25"/>
      <c r="F65" s="25"/>
      <c r="G65" s="25"/>
      <c r="H65" s="25"/>
      <c r="I65" s="25"/>
      <c r="J65" s="25"/>
    </row>
    <row r="66" spans="2:10" ht="15" customHeight="1" x14ac:dyDescent="0.3">
      <c r="B66" s="3" t="s">
        <v>19</v>
      </c>
      <c r="C66" s="25" t="s">
        <v>63</v>
      </c>
      <c r="D66" s="25"/>
      <c r="E66" s="25"/>
      <c r="F66" s="25"/>
      <c r="G66" s="25"/>
      <c r="H66" s="25"/>
      <c r="I66" s="25"/>
      <c r="J66" s="25"/>
    </row>
    <row r="67" spans="2:10" ht="15" customHeight="1" x14ac:dyDescent="0.3">
      <c r="B67" s="3" t="s">
        <v>19</v>
      </c>
      <c r="C67" s="25" t="s">
        <v>64</v>
      </c>
      <c r="D67" s="25"/>
      <c r="E67" s="25"/>
      <c r="F67" s="25"/>
      <c r="G67" s="25"/>
      <c r="H67" s="25"/>
      <c r="I67" s="25"/>
      <c r="J67" s="25"/>
    </row>
    <row r="68" spans="2:10" ht="15" customHeight="1" x14ac:dyDescent="0.3">
      <c r="B68" s="3" t="s">
        <v>19</v>
      </c>
      <c r="C68" s="25" t="s">
        <v>65</v>
      </c>
      <c r="D68" s="25"/>
      <c r="E68" s="25"/>
      <c r="F68" s="25"/>
      <c r="G68" s="25"/>
      <c r="H68" s="25"/>
      <c r="I68" s="25"/>
      <c r="J68" s="25"/>
    </row>
    <row r="69" spans="2:10" ht="15" customHeight="1" x14ac:dyDescent="0.3">
      <c r="B69" s="3" t="s">
        <v>19</v>
      </c>
      <c r="C69" s="25" t="s">
        <v>66</v>
      </c>
      <c r="D69" s="25"/>
      <c r="E69" s="25"/>
      <c r="F69" s="25"/>
      <c r="G69" s="25"/>
      <c r="H69" s="25"/>
      <c r="I69" s="25"/>
      <c r="J69" s="25"/>
    </row>
    <row r="70" spans="2:10" ht="15" customHeight="1" x14ac:dyDescent="0.3"/>
    <row r="71" spans="2:10" ht="19.5" customHeight="1" x14ac:dyDescent="0.3">
      <c r="B71" s="27" t="s">
        <v>67</v>
      </c>
      <c r="C71" s="27"/>
      <c r="D71" s="27"/>
      <c r="E71" s="27"/>
      <c r="F71" s="27"/>
      <c r="G71" s="27"/>
      <c r="H71" s="27"/>
      <c r="I71" s="27"/>
      <c r="J71" s="27"/>
    </row>
    <row r="72" spans="2:10" ht="15" customHeight="1" x14ac:dyDescent="0.3">
      <c r="B72" s="3" t="s">
        <v>19</v>
      </c>
      <c r="C72" s="25" t="s">
        <v>68</v>
      </c>
      <c r="D72" s="25"/>
      <c r="E72" s="25"/>
      <c r="F72" s="25"/>
      <c r="G72" s="25"/>
      <c r="H72" s="25"/>
      <c r="I72" s="25"/>
      <c r="J72" s="25"/>
    </row>
    <row r="73" spans="2:10" ht="15" customHeight="1" x14ac:dyDescent="0.3">
      <c r="B73" s="3" t="s">
        <v>19</v>
      </c>
      <c r="C73" s="25" t="s">
        <v>69</v>
      </c>
      <c r="D73" s="25"/>
      <c r="E73" s="25"/>
      <c r="F73" s="25"/>
      <c r="G73" s="25"/>
      <c r="H73" s="25"/>
      <c r="I73" s="25"/>
      <c r="J73" s="25"/>
    </row>
    <row r="74" spans="2:10" ht="15" customHeight="1" x14ac:dyDescent="0.3">
      <c r="B74" s="3" t="s">
        <v>19</v>
      </c>
      <c r="C74" s="25" t="s">
        <v>70</v>
      </c>
      <c r="D74" s="25"/>
      <c r="E74" s="25"/>
      <c r="F74" s="25"/>
      <c r="G74" s="25"/>
      <c r="H74" s="25"/>
      <c r="I74" s="25"/>
      <c r="J74" s="25"/>
    </row>
    <row r="75" spans="2:10" ht="15" customHeight="1" x14ac:dyDescent="0.3">
      <c r="B75" s="3" t="s">
        <v>19</v>
      </c>
      <c r="C75" s="25" t="s">
        <v>71</v>
      </c>
      <c r="D75" s="25"/>
      <c r="E75" s="25"/>
      <c r="F75" s="25"/>
      <c r="G75" s="25"/>
      <c r="H75" s="25"/>
      <c r="I75" s="25"/>
      <c r="J75" s="25"/>
    </row>
    <row r="76" spans="2:10" ht="15" customHeight="1" x14ac:dyDescent="0.3">
      <c r="B76" s="3" t="s">
        <v>19</v>
      </c>
      <c r="C76" s="25" t="s">
        <v>72</v>
      </c>
      <c r="D76" s="25"/>
      <c r="E76" s="25"/>
      <c r="F76" s="25"/>
      <c r="G76" s="25"/>
      <c r="H76" s="25"/>
      <c r="I76" s="25"/>
      <c r="J76" s="25"/>
    </row>
    <row r="77" spans="2:10" ht="15" customHeight="1" x14ac:dyDescent="0.3"/>
    <row r="78" spans="2:10" ht="15" customHeight="1" x14ac:dyDescent="0.3">
      <c r="B78" s="1" t="s">
        <v>73</v>
      </c>
    </row>
    <row r="79" spans="2:10" ht="15" customHeight="1" x14ac:dyDescent="0.3">
      <c r="B79" s="25" t="s">
        <v>74</v>
      </c>
      <c r="C79" s="25"/>
      <c r="D79" s="25"/>
      <c r="E79" s="25"/>
      <c r="F79" s="25"/>
      <c r="G79" s="25"/>
      <c r="H79" s="25"/>
      <c r="I79" s="25"/>
      <c r="J79" s="25"/>
    </row>
    <row r="80" spans="2:10" ht="15" customHeight="1" x14ac:dyDescent="0.3">
      <c r="B80" s="25"/>
      <c r="C80" s="25"/>
      <c r="D80" s="25"/>
      <c r="E80" s="25"/>
      <c r="F80" s="25"/>
      <c r="G80" s="25"/>
      <c r="H80" s="25"/>
      <c r="I80" s="25"/>
      <c r="J80" s="25"/>
    </row>
    <row r="81" ht="15" customHeight="1" x14ac:dyDescent="0.3"/>
  </sheetData>
  <mergeCells count="65">
    <mergeCell ref="C73:J73"/>
    <mergeCell ref="C74:J74"/>
    <mergeCell ref="C75:J75"/>
    <mergeCell ref="C76:J76"/>
    <mergeCell ref="B79:J80"/>
    <mergeCell ref="C67:J67"/>
    <mergeCell ref="C68:J68"/>
    <mergeCell ref="C69:J69"/>
    <mergeCell ref="B71:J71"/>
    <mergeCell ref="C72:J72"/>
    <mergeCell ref="C62:J62"/>
    <mergeCell ref="C63:J63"/>
    <mergeCell ref="C64:J64"/>
    <mergeCell ref="C65:J65"/>
    <mergeCell ref="C66:J66"/>
    <mergeCell ref="C56:J56"/>
    <mergeCell ref="B58:J58"/>
    <mergeCell ref="C59:J59"/>
    <mergeCell ref="C60:J60"/>
    <mergeCell ref="C61:J61"/>
    <mergeCell ref="C51:J51"/>
    <mergeCell ref="C52:J52"/>
    <mergeCell ref="C53:J53"/>
    <mergeCell ref="C54:J54"/>
    <mergeCell ref="C55:J55"/>
    <mergeCell ref="C45:J45"/>
    <mergeCell ref="C46:J46"/>
    <mergeCell ref="C47:J47"/>
    <mergeCell ref="B49:J49"/>
    <mergeCell ref="C50:J50"/>
    <mergeCell ref="C40:J40"/>
    <mergeCell ref="C41:J41"/>
    <mergeCell ref="C42:J42"/>
    <mergeCell ref="C43:J43"/>
    <mergeCell ref="C44:J44"/>
    <mergeCell ref="C34:J34"/>
    <mergeCell ref="B36:J36"/>
    <mergeCell ref="C37:J37"/>
    <mergeCell ref="C38:J38"/>
    <mergeCell ref="C39:J39"/>
    <mergeCell ref="C29:J29"/>
    <mergeCell ref="C30:J30"/>
    <mergeCell ref="C31:J31"/>
    <mergeCell ref="C32:J32"/>
    <mergeCell ref="C33:J33"/>
    <mergeCell ref="C24:J24"/>
    <mergeCell ref="C25:J25"/>
    <mergeCell ref="C26:J26"/>
    <mergeCell ref="C27:J27"/>
    <mergeCell ref="C28:J28"/>
    <mergeCell ref="B19:J19"/>
    <mergeCell ref="C20:J20"/>
    <mergeCell ref="C21:J21"/>
    <mergeCell ref="C22:J22"/>
    <mergeCell ref="C23:J23"/>
    <mergeCell ref="D13:J13"/>
    <mergeCell ref="D14:J14"/>
    <mergeCell ref="D15:J15"/>
    <mergeCell ref="D16:J16"/>
    <mergeCell ref="D17:J17"/>
    <mergeCell ref="B2:K2"/>
    <mergeCell ref="B3:K3"/>
    <mergeCell ref="B6:J8"/>
    <mergeCell ref="D11:J11"/>
    <mergeCell ref="D12:J12"/>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3DF3B-A71E-452D-B3D4-2B68B6D72A0A}">
  <dimension ref="A1:F8"/>
  <sheetViews>
    <sheetView topLeftCell="AE1" workbookViewId="0">
      <selection activeCell="G2" sqref="G2"/>
    </sheetView>
  </sheetViews>
  <sheetFormatPr defaultRowHeight="14.4" x14ac:dyDescent="0.3"/>
  <cols>
    <col min="1" max="1" width="14.77734375" customWidth="1"/>
    <col min="2" max="2" width="18.77734375" customWidth="1"/>
    <col min="3" max="3" width="20.77734375" customWidth="1"/>
    <col min="5" max="5" width="20.44140625" customWidth="1"/>
    <col min="6" max="6" width="18.21875" customWidth="1"/>
  </cols>
  <sheetData>
    <row r="1" spans="1:6" x14ac:dyDescent="0.3">
      <c r="A1" t="s">
        <v>1456</v>
      </c>
      <c r="B1" t="s">
        <v>1457</v>
      </c>
      <c r="C1" t="s">
        <v>1460</v>
      </c>
      <c r="D1" t="s">
        <v>228</v>
      </c>
      <c r="E1" t="s">
        <v>1461</v>
      </c>
      <c r="F1" t="s">
        <v>1462</v>
      </c>
    </row>
    <row r="2" spans="1:6" x14ac:dyDescent="0.3">
      <c r="A2" t="s">
        <v>150</v>
      </c>
      <c r="B2">
        <f>COUNTIFS(tbl_Tasks_Clean[Department],A2,tbl_Tasks_Clean[Status],"Delayed")</f>
        <v>7</v>
      </c>
      <c r="C2">
        <f>SUMIFS(tbl_Tasks_Clean[Actual_Cost],tbl_Tasks_Clean[Department],A2,tbl_Tasks_Clean[Status],"Completed")</f>
        <v>72262</v>
      </c>
      <c r="D2" t="s">
        <v>350</v>
      </c>
      <c r="E2">
        <f>AVERAGEIFS(tbl_Tasks_Clean[Delay_Days],tbl_Tasks_Clean[Priority],D2,tbl_Tasks_Clean[Status],"Completed")</f>
        <v>0.19230769230769232</v>
      </c>
      <c r="F2">
        <f>AVERAGEIFS(tbl_Tasks_Clean[Delay_Days],tbl_Tasks_Clean[Priority],D2,tbl_Tasks_Clean[Status],"Delayed")</f>
        <v>5.2142857142857144</v>
      </c>
    </row>
    <row r="3" spans="1:6" x14ac:dyDescent="0.3">
      <c r="A3" t="s">
        <v>164</v>
      </c>
      <c r="B3">
        <f>COUNTIFS(tbl_Tasks_Clean[Department],A3,tbl_Tasks_Clean[Status],"Delayed")</f>
        <v>3</v>
      </c>
      <c r="C3">
        <f>SUMIFS(tbl_Tasks_Clean[Actual_Cost],tbl_Tasks_Clean[Department],A3,tbl_Tasks_Clean[Status],"Completed")</f>
        <v>77808</v>
      </c>
      <c r="D3" s="31" t="s">
        <v>281</v>
      </c>
      <c r="E3">
        <f>AVERAGEIFS(tbl_Tasks_Clean[Delay_Days],tbl_Tasks_Clean[Priority],D3,tbl_Tasks_Clean[Status],"Completed")</f>
        <v>-0.17647058823529413</v>
      </c>
      <c r="F3">
        <f>AVERAGEIFS(tbl_Tasks_Clean[Delay_Days],tbl_Tasks_Clean[Priority],D3,tbl_Tasks_Clean[Status],"Delayed")</f>
        <v>5.8461538461538458</v>
      </c>
    </row>
    <row r="4" spans="1:6" x14ac:dyDescent="0.3">
      <c r="A4" t="s">
        <v>1458</v>
      </c>
      <c r="B4">
        <f>COUNTIFS(tbl_Tasks_Clean[Department],A4,tbl_Tasks_Clean[Status],"Delayed")</f>
        <v>0</v>
      </c>
      <c r="C4">
        <f>SUMIFS(tbl_Tasks_Clean[Actual_Cost],tbl_Tasks_Clean[Department],A4,tbl_Tasks_Clean[Status],"Completed")</f>
        <v>0</v>
      </c>
      <c r="D4" t="s">
        <v>250</v>
      </c>
      <c r="E4">
        <f>AVERAGEIFS(tbl_Tasks_Clean[Delay_Days],tbl_Tasks_Clean[Priority],D4,tbl_Tasks_Clean[Status],"Completed")</f>
        <v>-0.72222222222222221</v>
      </c>
      <c r="F4">
        <f>AVERAGEIFS(tbl_Tasks_Clean[Delay_Days],tbl_Tasks_Clean[Priority],D4,tbl_Tasks_Clean[Status],"Delayed")</f>
        <v>2.2999999999999998</v>
      </c>
    </row>
    <row r="5" spans="1:6" x14ac:dyDescent="0.3">
      <c r="A5" t="s">
        <v>1459</v>
      </c>
      <c r="B5">
        <f>COUNTIFS(tbl_Tasks_Clean[Department],A5,tbl_Tasks_Clean[Status],"Delayed")</f>
        <v>0</v>
      </c>
      <c r="C5">
        <f>SUMIFS(tbl_Tasks_Clean[Actual_Cost],tbl_Tasks_Clean[Department],A5,tbl_Tasks_Clean[Status],"Completed")</f>
        <v>0</v>
      </c>
    </row>
    <row r="6" spans="1:6" x14ac:dyDescent="0.3">
      <c r="A6" t="s">
        <v>410</v>
      </c>
      <c r="B6">
        <f>COUNTIFS(tbl_Tasks_Clean[Department],A6,tbl_Tasks_Clean[Status],"Delayed")</f>
        <v>0</v>
      </c>
      <c r="C6">
        <f>SUMIFS(tbl_Tasks_Clean[Actual_Cost],tbl_Tasks_Clean[Department],A6,tbl_Tasks_Clean[Status],"Completed")</f>
        <v>0</v>
      </c>
    </row>
    <row r="7" spans="1:6" x14ac:dyDescent="0.3">
      <c r="A7" t="s">
        <v>206</v>
      </c>
      <c r="B7">
        <f>COUNTIFS(tbl_Tasks_Clean[Department],A7,tbl_Tasks_Clean[Status],"Delayed")</f>
        <v>6</v>
      </c>
      <c r="C7">
        <f>SUMIFS(tbl_Tasks_Clean[Actual_Cost],tbl_Tasks_Clean[Department],A7,tbl_Tasks_Clean[Status],"Completed")</f>
        <v>53046</v>
      </c>
    </row>
    <row r="8" spans="1:6" x14ac:dyDescent="0.3">
      <c r="A8" t="s">
        <v>219</v>
      </c>
      <c r="B8">
        <f>COUNTIFS(tbl_Tasks_Clean[Department],A8,tbl_Tasks_Clean[Status],"Delayed")</f>
        <v>0</v>
      </c>
      <c r="C8">
        <f>SUMIFS(tbl_Tasks_Clean[Actual_Cost],tbl_Tasks_Clean[Department],A8,tbl_Tasks_Clean[Status],"Completed")</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7F5B-16F0-46DB-9C71-C0EEA34D92C4}">
  <dimension ref="A1:F16"/>
  <sheetViews>
    <sheetView workbookViewId="0"/>
  </sheetViews>
  <sheetFormatPr defaultRowHeight="14.4" x14ac:dyDescent="0.3"/>
  <cols>
    <col min="1" max="1" width="12" bestFit="1" customWidth="1"/>
    <col min="2" max="2" width="23.33203125" bestFit="1" customWidth="1"/>
    <col min="3" max="3" width="20.109375" bestFit="1" customWidth="1"/>
    <col min="4" max="4" width="17.88671875" bestFit="1" customWidth="1"/>
    <col min="5" max="5" width="12.109375" bestFit="1" customWidth="1"/>
    <col min="6" max="6" width="9.21875" bestFit="1" customWidth="1"/>
  </cols>
  <sheetData>
    <row r="1" spans="1:6" x14ac:dyDescent="0.3">
      <c r="A1" t="s">
        <v>75</v>
      </c>
      <c r="B1" t="s">
        <v>76</v>
      </c>
      <c r="C1" t="s">
        <v>77</v>
      </c>
      <c r="D1" t="s">
        <v>78</v>
      </c>
      <c r="E1" t="s">
        <v>79</v>
      </c>
      <c r="F1" t="s">
        <v>80</v>
      </c>
    </row>
    <row r="2" spans="1:6" x14ac:dyDescent="0.3">
      <c r="A2" t="s">
        <v>81</v>
      </c>
      <c r="B2" t="s">
        <v>82</v>
      </c>
      <c r="C2" t="s">
        <v>83</v>
      </c>
      <c r="D2" t="s">
        <v>84</v>
      </c>
      <c r="E2" s="22">
        <v>45455</v>
      </c>
      <c r="F2">
        <v>75000</v>
      </c>
    </row>
    <row r="3" spans="1:6" x14ac:dyDescent="0.3">
      <c r="A3" t="s">
        <v>86</v>
      </c>
      <c r="B3" t="s">
        <v>87</v>
      </c>
      <c r="C3" t="s">
        <v>88</v>
      </c>
      <c r="D3" t="s">
        <v>89</v>
      </c>
      <c r="E3" s="22">
        <v>45481</v>
      </c>
      <c r="F3">
        <v>150000</v>
      </c>
    </row>
    <row r="4" spans="1:6" x14ac:dyDescent="0.3">
      <c r="A4" t="s">
        <v>91</v>
      </c>
      <c r="B4" t="s">
        <v>92</v>
      </c>
      <c r="C4" t="s">
        <v>93</v>
      </c>
      <c r="D4" t="s">
        <v>94</v>
      </c>
      <c r="E4" s="22">
        <v>45349</v>
      </c>
      <c r="F4">
        <v>100000</v>
      </c>
    </row>
    <row r="5" spans="1:6" x14ac:dyDescent="0.3">
      <c r="A5" t="s">
        <v>96</v>
      </c>
      <c r="B5" t="s">
        <v>97</v>
      </c>
      <c r="C5" t="s">
        <v>98</v>
      </c>
      <c r="D5" t="s">
        <v>99</v>
      </c>
      <c r="E5" s="22">
        <v>45465</v>
      </c>
      <c r="F5">
        <v>75000</v>
      </c>
    </row>
    <row r="6" spans="1:6" x14ac:dyDescent="0.3">
      <c r="A6" t="s">
        <v>101</v>
      </c>
      <c r="B6" t="s">
        <v>102</v>
      </c>
      <c r="C6" t="s">
        <v>103</v>
      </c>
      <c r="D6" t="s">
        <v>94</v>
      </c>
      <c r="E6" s="22">
        <v>45300</v>
      </c>
      <c r="F6">
        <v>50000</v>
      </c>
    </row>
    <row r="7" spans="1:6" x14ac:dyDescent="0.3">
      <c r="A7" t="s">
        <v>105</v>
      </c>
      <c r="B7" t="s">
        <v>106</v>
      </c>
      <c r="C7" t="s">
        <v>107</v>
      </c>
      <c r="D7" t="s">
        <v>84</v>
      </c>
      <c r="E7" s="22">
        <v>45347</v>
      </c>
      <c r="F7">
        <v>120000</v>
      </c>
    </row>
    <row r="8" spans="1:6" x14ac:dyDescent="0.3">
      <c r="A8" t="s">
        <v>109</v>
      </c>
      <c r="B8" t="s">
        <v>110</v>
      </c>
      <c r="C8" t="s">
        <v>111</v>
      </c>
      <c r="D8" t="s">
        <v>99</v>
      </c>
      <c r="E8" s="22">
        <v>45435</v>
      </c>
      <c r="F8">
        <v>120000</v>
      </c>
    </row>
    <row r="9" spans="1:6" x14ac:dyDescent="0.3">
      <c r="A9" t="s">
        <v>113</v>
      </c>
      <c r="B9" t="s">
        <v>114</v>
      </c>
      <c r="C9" t="s">
        <v>115</v>
      </c>
      <c r="D9" t="s">
        <v>116</v>
      </c>
      <c r="E9" s="22">
        <v>45348</v>
      </c>
      <c r="F9">
        <v>300000</v>
      </c>
    </row>
    <row r="10" spans="1:6" x14ac:dyDescent="0.3">
      <c r="A10" t="s">
        <v>118</v>
      </c>
      <c r="B10" t="s">
        <v>119</v>
      </c>
      <c r="C10" t="s">
        <v>120</v>
      </c>
      <c r="D10" t="s">
        <v>99</v>
      </c>
      <c r="E10" s="22">
        <v>45293</v>
      </c>
      <c r="F10">
        <v>100000</v>
      </c>
    </row>
    <row r="11" spans="1:6" x14ac:dyDescent="0.3">
      <c r="A11" t="s">
        <v>122</v>
      </c>
      <c r="B11" t="s">
        <v>123</v>
      </c>
      <c r="C11" t="s">
        <v>111</v>
      </c>
      <c r="D11" t="s">
        <v>124</v>
      </c>
      <c r="E11" s="22">
        <v>45379</v>
      </c>
      <c r="F11">
        <v>150000</v>
      </c>
    </row>
    <row r="12" spans="1:6" x14ac:dyDescent="0.3">
      <c r="A12" t="s">
        <v>126</v>
      </c>
      <c r="B12" t="s">
        <v>127</v>
      </c>
      <c r="C12" t="s">
        <v>128</v>
      </c>
      <c r="D12" t="s">
        <v>94</v>
      </c>
      <c r="E12" s="22">
        <v>45347</v>
      </c>
      <c r="F12">
        <v>200000</v>
      </c>
    </row>
    <row r="13" spans="1:6" x14ac:dyDescent="0.3">
      <c r="A13" t="s">
        <v>129</v>
      </c>
      <c r="B13" t="s">
        <v>130</v>
      </c>
      <c r="C13" t="s">
        <v>131</v>
      </c>
      <c r="D13" t="s">
        <v>94</v>
      </c>
      <c r="E13" s="22">
        <v>45315</v>
      </c>
      <c r="F13">
        <v>250000</v>
      </c>
    </row>
    <row r="14" spans="1:6" x14ac:dyDescent="0.3">
      <c r="A14" t="s">
        <v>133</v>
      </c>
      <c r="B14" t="s">
        <v>134</v>
      </c>
      <c r="C14" t="s">
        <v>111</v>
      </c>
      <c r="D14" t="s">
        <v>116</v>
      </c>
      <c r="E14" s="22">
        <v>45383</v>
      </c>
      <c r="F14">
        <v>200000</v>
      </c>
    </row>
    <row r="15" spans="1:6" x14ac:dyDescent="0.3">
      <c r="A15" t="s">
        <v>136</v>
      </c>
      <c r="B15" t="s">
        <v>137</v>
      </c>
      <c r="C15" t="s">
        <v>138</v>
      </c>
      <c r="D15" t="s">
        <v>94</v>
      </c>
      <c r="E15" s="22">
        <v>45303</v>
      </c>
      <c r="F15">
        <v>300000</v>
      </c>
    </row>
    <row r="16" spans="1:6" x14ac:dyDescent="0.3">
      <c r="A16" t="s">
        <v>140</v>
      </c>
      <c r="B16" t="s">
        <v>141</v>
      </c>
      <c r="C16" t="s">
        <v>111</v>
      </c>
      <c r="D16" t="s">
        <v>116</v>
      </c>
      <c r="E16" s="22">
        <v>45388</v>
      </c>
      <c r="F16">
        <v>75000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zoomScaleNormal="100" workbookViewId="0">
      <pane ySplit="1" topLeftCell="A2" activePane="bottomLeft" state="frozen"/>
      <selection pane="bottomLeft" activeCell="C14" sqref="C14"/>
    </sheetView>
  </sheetViews>
  <sheetFormatPr defaultColWidth="8.6640625" defaultRowHeight="14.4" x14ac:dyDescent="0.3"/>
  <cols>
    <col min="1" max="1" width="12" customWidth="1"/>
    <col min="2" max="2" width="26" customWidth="1"/>
    <col min="3" max="3" width="22" customWidth="1"/>
    <col min="4" max="4" width="18" customWidth="1"/>
    <col min="5" max="5" width="14" customWidth="1"/>
    <col min="6" max="6" width="12" customWidth="1"/>
  </cols>
  <sheetData>
    <row r="1" spans="1:6" x14ac:dyDescent="0.3">
      <c r="A1" s="4" t="s">
        <v>75</v>
      </c>
      <c r="B1" s="4" t="s">
        <v>76</v>
      </c>
      <c r="C1" s="4" t="s">
        <v>77</v>
      </c>
      <c r="D1" s="4" t="s">
        <v>78</v>
      </c>
      <c r="E1" s="4" t="s">
        <v>79</v>
      </c>
      <c r="F1" s="4" t="s">
        <v>80</v>
      </c>
    </row>
    <row r="2" spans="1:6" x14ac:dyDescent="0.3">
      <c r="A2" s="5" t="s">
        <v>81</v>
      </c>
      <c r="B2" s="5" t="s">
        <v>82</v>
      </c>
      <c r="C2" s="5" t="s">
        <v>83</v>
      </c>
      <c r="D2" s="5" t="s">
        <v>84</v>
      </c>
      <c r="E2" s="6" t="s">
        <v>85</v>
      </c>
      <c r="F2" s="7">
        <v>75000</v>
      </c>
    </row>
    <row r="3" spans="1:6" x14ac:dyDescent="0.3">
      <c r="A3" s="8" t="s">
        <v>86</v>
      </c>
      <c r="B3" s="8" t="s">
        <v>87</v>
      </c>
      <c r="C3" s="8" t="s">
        <v>88</v>
      </c>
      <c r="D3" s="8" t="s">
        <v>89</v>
      </c>
      <c r="E3" s="9" t="s">
        <v>90</v>
      </c>
      <c r="F3" s="10">
        <v>150000</v>
      </c>
    </row>
    <row r="4" spans="1:6" x14ac:dyDescent="0.3">
      <c r="A4" s="5" t="s">
        <v>91</v>
      </c>
      <c r="B4" s="5" t="s">
        <v>92</v>
      </c>
      <c r="C4" s="5" t="s">
        <v>93</v>
      </c>
      <c r="D4" s="5" t="s">
        <v>94</v>
      </c>
      <c r="E4" s="6" t="s">
        <v>95</v>
      </c>
      <c r="F4" s="7">
        <v>100000</v>
      </c>
    </row>
    <row r="5" spans="1:6" x14ac:dyDescent="0.3">
      <c r="A5" s="8" t="s">
        <v>96</v>
      </c>
      <c r="B5" s="8" t="s">
        <v>97</v>
      </c>
      <c r="C5" s="8" t="s">
        <v>98</v>
      </c>
      <c r="D5" s="8" t="s">
        <v>99</v>
      </c>
      <c r="E5" s="9" t="s">
        <v>100</v>
      </c>
      <c r="F5" s="10">
        <v>75000</v>
      </c>
    </row>
    <row r="6" spans="1:6" x14ac:dyDescent="0.3">
      <c r="A6" s="5" t="s">
        <v>101</v>
      </c>
      <c r="B6" s="5" t="s">
        <v>102</v>
      </c>
      <c r="C6" s="5" t="s">
        <v>103</v>
      </c>
      <c r="D6" s="5" t="s">
        <v>94</v>
      </c>
      <c r="E6" s="6" t="s">
        <v>104</v>
      </c>
      <c r="F6" s="7">
        <v>50000</v>
      </c>
    </row>
    <row r="7" spans="1:6" x14ac:dyDescent="0.3">
      <c r="A7" s="8" t="s">
        <v>105</v>
      </c>
      <c r="B7" s="8" t="s">
        <v>106</v>
      </c>
      <c r="C7" s="8" t="s">
        <v>107</v>
      </c>
      <c r="D7" s="8" t="s">
        <v>84</v>
      </c>
      <c r="E7" s="9" t="s">
        <v>108</v>
      </c>
      <c r="F7" s="10">
        <v>120000</v>
      </c>
    </row>
    <row r="8" spans="1:6" x14ac:dyDescent="0.3">
      <c r="A8" s="5" t="s">
        <v>109</v>
      </c>
      <c r="B8" s="5" t="s">
        <v>110</v>
      </c>
      <c r="C8" s="5" t="s">
        <v>111</v>
      </c>
      <c r="D8" s="5" t="s">
        <v>99</v>
      </c>
      <c r="E8" s="6" t="s">
        <v>112</v>
      </c>
      <c r="F8" s="7">
        <v>120000</v>
      </c>
    </row>
    <row r="9" spans="1:6" x14ac:dyDescent="0.3">
      <c r="A9" s="8" t="s">
        <v>113</v>
      </c>
      <c r="B9" s="8" t="s">
        <v>114</v>
      </c>
      <c r="C9" s="8" t="s">
        <v>115</v>
      </c>
      <c r="D9" s="8" t="s">
        <v>116</v>
      </c>
      <c r="E9" s="9" t="s">
        <v>117</v>
      </c>
      <c r="F9" s="10">
        <v>300000</v>
      </c>
    </row>
    <row r="10" spans="1:6" x14ac:dyDescent="0.3">
      <c r="A10" s="5" t="s">
        <v>118</v>
      </c>
      <c r="B10" s="5" t="s">
        <v>119</v>
      </c>
      <c r="C10" s="5" t="s">
        <v>120</v>
      </c>
      <c r="D10" s="5" t="s">
        <v>99</v>
      </c>
      <c r="E10" s="6" t="s">
        <v>121</v>
      </c>
      <c r="F10" s="7">
        <v>100000</v>
      </c>
    </row>
    <row r="11" spans="1:6" x14ac:dyDescent="0.3">
      <c r="A11" s="8" t="s">
        <v>122</v>
      </c>
      <c r="B11" s="8" t="s">
        <v>123</v>
      </c>
      <c r="C11" s="8" t="s">
        <v>111</v>
      </c>
      <c r="D11" s="8" t="s">
        <v>124</v>
      </c>
      <c r="E11" s="9" t="s">
        <v>125</v>
      </c>
      <c r="F11" s="10">
        <v>150000</v>
      </c>
    </row>
    <row r="12" spans="1:6" x14ac:dyDescent="0.3">
      <c r="A12" s="5" t="s">
        <v>126</v>
      </c>
      <c r="B12" s="5" t="s">
        <v>127</v>
      </c>
      <c r="C12" s="5" t="s">
        <v>128</v>
      </c>
      <c r="D12" s="5" t="s">
        <v>94</v>
      </c>
      <c r="E12" s="6" t="s">
        <v>108</v>
      </c>
      <c r="F12" s="7">
        <v>200000</v>
      </c>
    </row>
    <row r="13" spans="1:6" x14ac:dyDescent="0.3">
      <c r="A13" s="8" t="s">
        <v>129</v>
      </c>
      <c r="B13" s="8" t="s">
        <v>130</v>
      </c>
      <c r="C13" s="8" t="s">
        <v>131</v>
      </c>
      <c r="D13" s="8" t="s">
        <v>94</v>
      </c>
      <c r="E13" s="9" t="s">
        <v>132</v>
      </c>
      <c r="F13" s="10">
        <v>250000</v>
      </c>
    </row>
    <row r="14" spans="1:6" x14ac:dyDescent="0.3">
      <c r="A14" s="5" t="s">
        <v>133</v>
      </c>
      <c r="B14" s="5" t="s">
        <v>134</v>
      </c>
      <c r="C14" s="5" t="s">
        <v>111</v>
      </c>
      <c r="D14" s="5" t="s">
        <v>116</v>
      </c>
      <c r="E14" s="6" t="s">
        <v>135</v>
      </c>
      <c r="F14" s="7">
        <v>200000</v>
      </c>
    </row>
    <row r="15" spans="1:6" x14ac:dyDescent="0.3">
      <c r="A15" s="8" t="s">
        <v>136</v>
      </c>
      <c r="B15" s="8" t="s">
        <v>137</v>
      </c>
      <c r="C15" s="8" t="s">
        <v>138</v>
      </c>
      <c r="D15" s="8" t="s">
        <v>94</v>
      </c>
      <c r="E15" s="9" t="s">
        <v>139</v>
      </c>
      <c r="F15" s="10">
        <v>300000</v>
      </c>
    </row>
    <row r="16" spans="1:6" x14ac:dyDescent="0.3">
      <c r="A16" s="5" t="s">
        <v>140</v>
      </c>
      <c r="B16" s="5" t="s">
        <v>141</v>
      </c>
      <c r="C16" s="5" t="s">
        <v>111</v>
      </c>
      <c r="D16" s="5" t="s">
        <v>116</v>
      </c>
      <c r="E16" s="6" t="s">
        <v>142</v>
      </c>
      <c r="F16" s="7">
        <v>75000</v>
      </c>
    </row>
  </sheetData>
  <pageMargins left="0.75" right="0.75" top="1" bottom="1" header="0.511811023622047" footer="0.511811023622047"/>
  <pageSetup paperSize="9" orientation="portrait" horizontalDpi="300" verticalDpi="30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3F747-4753-47C4-8D77-52CF42377E2F}">
  <dimension ref="A1:E28"/>
  <sheetViews>
    <sheetView topLeftCell="E1" workbookViewId="0"/>
  </sheetViews>
  <sheetFormatPr defaultRowHeight="14.4" x14ac:dyDescent="0.3"/>
  <cols>
    <col min="1" max="1" width="14.33203125" bestFit="1" customWidth="1"/>
    <col min="2" max="2" width="17.6640625" bestFit="1" customWidth="1"/>
    <col min="3" max="3" width="15.5546875" bestFit="1" customWidth="1"/>
    <col min="4" max="4" width="20.5546875" bestFit="1" customWidth="1"/>
    <col min="5" max="5" width="13.5546875" bestFit="1" customWidth="1"/>
  </cols>
  <sheetData>
    <row r="1" spans="1:5" x14ac:dyDescent="0.3">
      <c r="A1" t="s">
        <v>143</v>
      </c>
      <c r="B1" t="s">
        <v>144</v>
      </c>
      <c r="C1" t="s">
        <v>145</v>
      </c>
      <c r="D1" t="s">
        <v>146</v>
      </c>
      <c r="E1" t="s">
        <v>147</v>
      </c>
    </row>
    <row r="2" spans="1:5" x14ac:dyDescent="0.3">
      <c r="A2" t="s">
        <v>148</v>
      </c>
      <c r="B2" t="s">
        <v>149</v>
      </c>
      <c r="C2" t="s">
        <v>150</v>
      </c>
      <c r="D2" t="s">
        <v>151</v>
      </c>
      <c r="E2">
        <v>150</v>
      </c>
    </row>
    <row r="3" spans="1:5" x14ac:dyDescent="0.3">
      <c r="A3" t="s">
        <v>152</v>
      </c>
      <c r="B3" t="s">
        <v>153</v>
      </c>
      <c r="C3" t="s">
        <v>150</v>
      </c>
      <c r="D3" t="s">
        <v>151</v>
      </c>
      <c r="E3">
        <v>220</v>
      </c>
    </row>
    <row r="4" spans="1:5" x14ac:dyDescent="0.3">
      <c r="A4" t="s">
        <v>154</v>
      </c>
      <c r="B4" t="s">
        <v>155</v>
      </c>
      <c r="C4" t="s">
        <v>150</v>
      </c>
      <c r="D4" t="s">
        <v>156</v>
      </c>
      <c r="E4">
        <v>280</v>
      </c>
    </row>
    <row r="5" spans="1:5" x14ac:dyDescent="0.3">
      <c r="A5" t="s">
        <v>157</v>
      </c>
      <c r="B5" t="s">
        <v>158</v>
      </c>
      <c r="C5" t="s">
        <v>150</v>
      </c>
      <c r="D5" t="s">
        <v>159</v>
      </c>
      <c r="E5">
        <v>180</v>
      </c>
    </row>
    <row r="6" spans="1:5" x14ac:dyDescent="0.3">
      <c r="A6" t="s">
        <v>160</v>
      </c>
      <c r="B6" t="s">
        <v>161</v>
      </c>
      <c r="C6" t="s">
        <v>150</v>
      </c>
      <c r="D6" t="s">
        <v>151</v>
      </c>
      <c r="E6">
        <v>220</v>
      </c>
    </row>
    <row r="7" spans="1:5" x14ac:dyDescent="0.3">
      <c r="A7" t="s">
        <v>162</v>
      </c>
      <c r="B7" t="s">
        <v>163</v>
      </c>
      <c r="C7" t="s">
        <v>164</v>
      </c>
      <c r="D7" t="s">
        <v>165</v>
      </c>
      <c r="E7">
        <v>180</v>
      </c>
    </row>
    <row r="8" spans="1:5" x14ac:dyDescent="0.3">
      <c r="A8" t="s">
        <v>166</v>
      </c>
      <c r="B8" t="s">
        <v>167</v>
      </c>
      <c r="C8" t="s">
        <v>164</v>
      </c>
      <c r="D8" t="s">
        <v>165</v>
      </c>
      <c r="E8">
        <v>180</v>
      </c>
    </row>
    <row r="9" spans="1:5" x14ac:dyDescent="0.3">
      <c r="A9" t="s">
        <v>168</v>
      </c>
      <c r="B9" t="s">
        <v>169</v>
      </c>
      <c r="C9" t="s">
        <v>164</v>
      </c>
      <c r="D9" t="s">
        <v>170</v>
      </c>
      <c r="E9">
        <v>200</v>
      </c>
    </row>
    <row r="10" spans="1:5" x14ac:dyDescent="0.3">
      <c r="A10" t="s">
        <v>171</v>
      </c>
      <c r="B10" t="s">
        <v>172</v>
      </c>
      <c r="C10" t="s">
        <v>164</v>
      </c>
      <c r="D10" t="s">
        <v>165</v>
      </c>
      <c r="E10">
        <v>200</v>
      </c>
    </row>
    <row r="11" spans="1:5" x14ac:dyDescent="0.3">
      <c r="A11" t="s">
        <v>173</v>
      </c>
      <c r="B11" t="s">
        <v>174</v>
      </c>
      <c r="C11" t="s">
        <v>164</v>
      </c>
      <c r="D11" t="s">
        <v>170</v>
      </c>
      <c r="E11">
        <v>220</v>
      </c>
    </row>
    <row r="12" spans="1:5" x14ac:dyDescent="0.3">
      <c r="A12" t="s">
        <v>175</v>
      </c>
      <c r="B12" t="s">
        <v>176</v>
      </c>
      <c r="C12" t="s">
        <v>177</v>
      </c>
      <c r="D12" t="s">
        <v>178</v>
      </c>
      <c r="E12">
        <v>250</v>
      </c>
    </row>
    <row r="13" spans="1:5" x14ac:dyDescent="0.3">
      <c r="A13" t="s">
        <v>179</v>
      </c>
      <c r="B13" t="s">
        <v>180</v>
      </c>
      <c r="C13" t="s">
        <v>177</v>
      </c>
      <c r="D13" t="s">
        <v>181</v>
      </c>
      <c r="E13">
        <v>280</v>
      </c>
    </row>
    <row r="14" spans="1:5" x14ac:dyDescent="0.3">
      <c r="A14" t="s">
        <v>182</v>
      </c>
      <c r="B14" t="s">
        <v>183</v>
      </c>
      <c r="C14" t="s">
        <v>177</v>
      </c>
      <c r="D14" t="s">
        <v>184</v>
      </c>
      <c r="E14">
        <v>220</v>
      </c>
    </row>
    <row r="15" spans="1:5" x14ac:dyDescent="0.3">
      <c r="A15" t="s">
        <v>185</v>
      </c>
      <c r="B15" t="s">
        <v>186</v>
      </c>
      <c r="C15" t="s">
        <v>187</v>
      </c>
      <c r="D15" t="s">
        <v>188</v>
      </c>
      <c r="E15">
        <v>220</v>
      </c>
    </row>
    <row r="16" spans="1:5" x14ac:dyDescent="0.3">
      <c r="A16" t="s">
        <v>189</v>
      </c>
      <c r="B16" t="s">
        <v>190</v>
      </c>
      <c r="C16" t="s">
        <v>187</v>
      </c>
      <c r="D16" t="s">
        <v>191</v>
      </c>
      <c r="E16">
        <v>280</v>
      </c>
    </row>
    <row r="17" spans="1:5" x14ac:dyDescent="0.3">
      <c r="A17" t="s">
        <v>192</v>
      </c>
      <c r="B17" t="s">
        <v>193</v>
      </c>
      <c r="C17" t="s">
        <v>187</v>
      </c>
      <c r="D17" t="s">
        <v>194</v>
      </c>
      <c r="E17">
        <v>300</v>
      </c>
    </row>
    <row r="18" spans="1:5" x14ac:dyDescent="0.3">
      <c r="A18" t="s">
        <v>195</v>
      </c>
      <c r="B18" t="s">
        <v>196</v>
      </c>
      <c r="C18" t="s">
        <v>197</v>
      </c>
      <c r="D18" t="s">
        <v>198</v>
      </c>
      <c r="E18">
        <v>180</v>
      </c>
    </row>
    <row r="19" spans="1:5" x14ac:dyDescent="0.3">
      <c r="A19" t="s">
        <v>199</v>
      </c>
      <c r="B19" t="s">
        <v>200</v>
      </c>
      <c r="C19" t="s">
        <v>197</v>
      </c>
      <c r="D19" t="s">
        <v>201</v>
      </c>
      <c r="E19">
        <v>150</v>
      </c>
    </row>
    <row r="20" spans="1:5" x14ac:dyDescent="0.3">
      <c r="A20" t="s">
        <v>202</v>
      </c>
      <c r="B20" t="s">
        <v>203</v>
      </c>
      <c r="C20" t="s">
        <v>197</v>
      </c>
      <c r="D20" t="s">
        <v>201</v>
      </c>
      <c r="E20">
        <v>300</v>
      </c>
    </row>
    <row r="21" spans="1:5" x14ac:dyDescent="0.3">
      <c r="A21" t="s">
        <v>204</v>
      </c>
      <c r="B21" t="s">
        <v>205</v>
      </c>
      <c r="C21" t="s">
        <v>206</v>
      </c>
      <c r="D21" t="s">
        <v>207</v>
      </c>
      <c r="E21">
        <v>150</v>
      </c>
    </row>
    <row r="22" spans="1:5" x14ac:dyDescent="0.3">
      <c r="A22" t="s">
        <v>208</v>
      </c>
      <c r="B22" t="s">
        <v>209</v>
      </c>
      <c r="C22" t="s">
        <v>206</v>
      </c>
      <c r="D22" t="s">
        <v>210</v>
      </c>
      <c r="E22">
        <v>250</v>
      </c>
    </row>
    <row r="23" spans="1:5" x14ac:dyDescent="0.3">
      <c r="A23" t="s">
        <v>211</v>
      </c>
      <c r="B23" t="s">
        <v>212</v>
      </c>
      <c r="C23" t="s">
        <v>206</v>
      </c>
      <c r="D23" t="s">
        <v>210</v>
      </c>
      <c r="E23">
        <v>180</v>
      </c>
    </row>
    <row r="24" spans="1:5" x14ac:dyDescent="0.3">
      <c r="A24" t="s">
        <v>213</v>
      </c>
      <c r="B24" t="s">
        <v>214</v>
      </c>
      <c r="C24" t="s">
        <v>206</v>
      </c>
      <c r="D24" t="s">
        <v>210</v>
      </c>
      <c r="E24">
        <v>180</v>
      </c>
    </row>
    <row r="25" spans="1:5" x14ac:dyDescent="0.3">
      <c r="A25" t="s">
        <v>215</v>
      </c>
      <c r="B25" t="s">
        <v>216</v>
      </c>
      <c r="C25" t="s">
        <v>206</v>
      </c>
      <c r="D25" t="s">
        <v>210</v>
      </c>
      <c r="E25">
        <v>200</v>
      </c>
    </row>
    <row r="26" spans="1:5" x14ac:dyDescent="0.3">
      <c r="A26" t="s">
        <v>217</v>
      </c>
      <c r="B26" t="s">
        <v>218</v>
      </c>
      <c r="C26" t="s">
        <v>219</v>
      </c>
      <c r="D26" t="s">
        <v>220</v>
      </c>
      <c r="E26">
        <v>250</v>
      </c>
    </row>
    <row r="27" spans="1:5" x14ac:dyDescent="0.3">
      <c r="A27" t="s">
        <v>221</v>
      </c>
      <c r="B27" t="s">
        <v>222</v>
      </c>
      <c r="C27" t="s">
        <v>219</v>
      </c>
      <c r="D27" t="s">
        <v>220</v>
      </c>
      <c r="E27">
        <v>250</v>
      </c>
    </row>
    <row r="28" spans="1:5" x14ac:dyDescent="0.3">
      <c r="A28" t="s">
        <v>223</v>
      </c>
      <c r="B28" t="s">
        <v>224</v>
      </c>
      <c r="C28" t="s">
        <v>219</v>
      </c>
      <c r="D28" t="s">
        <v>220</v>
      </c>
      <c r="E28">
        <v>200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8"/>
  <sheetViews>
    <sheetView zoomScaleNormal="100" workbookViewId="0">
      <pane ySplit="1" topLeftCell="A2" activePane="bottomLeft" state="frozen"/>
      <selection pane="bottomLeft" activeCell="B4" sqref="B4"/>
    </sheetView>
  </sheetViews>
  <sheetFormatPr defaultColWidth="8.6640625" defaultRowHeight="14.4" x14ac:dyDescent="0.3"/>
  <cols>
    <col min="1" max="1" width="13" customWidth="1"/>
    <col min="2" max="2" width="22" customWidth="1"/>
    <col min="3" max="3" width="18" customWidth="1"/>
    <col min="4" max="4" width="24" customWidth="1"/>
    <col min="5" max="5" width="12" customWidth="1"/>
  </cols>
  <sheetData>
    <row r="1" spans="1:5" ht="27.6" x14ac:dyDescent="0.3">
      <c r="A1" s="4" t="s">
        <v>143</v>
      </c>
      <c r="B1" s="4" t="s">
        <v>144</v>
      </c>
      <c r="C1" s="4" t="s">
        <v>145</v>
      </c>
      <c r="D1" s="4" t="s">
        <v>146</v>
      </c>
      <c r="E1" s="4" t="s">
        <v>147</v>
      </c>
    </row>
    <row r="2" spans="1:5" x14ac:dyDescent="0.3">
      <c r="A2" s="5" t="s">
        <v>148</v>
      </c>
      <c r="B2" s="5" t="s">
        <v>149</v>
      </c>
      <c r="C2" s="5" t="s">
        <v>150</v>
      </c>
      <c r="D2" s="5" t="s">
        <v>151</v>
      </c>
      <c r="E2" s="7">
        <v>150</v>
      </c>
    </row>
    <row r="3" spans="1:5" x14ac:dyDescent="0.3">
      <c r="A3" s="8" t="s">
        <v>152</v>
      </c>
      <c r="B3" s="8" t="s">
        <v>153</v>
      </c>
      <c r="C3" s="8" t="s">
        <v>150</v>
      </c>
      <c r="D3" s="8" t="s">
        <v>151</v>
      </c>
      <c r="E3" s="10">
        <v>220</v>
      </c>
    </row>
    <row r="4" spans="1:5" x14ac:dyDescent="0.3">
      <c r="A4" s="5" t="s">
        <v>154</v>
      </c>
      <c r="B4" s="5" t="s">
        <v>155</v>
      </c>
      <c r="C4" s="5" t="s">
        <v>150</v>
      </c>
      <c r="D4" s="5" t="s">
        <v>156</v>
      </c>
      <c r="E4" s="7">
        <v>280</v>
      </c>
    </row>
    <row r="5" spans="1:5" x14ac:dyDescent="0.3">
      <c r="A5" s="8" t="s">
        <v>157</v>
      </c>
      <c r="B5" s="8" t="s">
        <v>158</v>
      </c>
      <c r="C5" s="8" t="s">
        <v>150</v>
      </c>
      <c r="D5" s="8" t="s">
        <v>159</v>
      </c>
      <c r="E5" s="10">
        <v>180</v>
      </c>
    </row>
    <row r="6" spans="1:5" x14ac:dyDescent="0.3">
      <c r="A6" s="5" t="s">
        <v>160</v>
      </c>
      <c r="B6" s="5" t="s">
        <v>161</v>
      </c>
      <c r="C6" s="5" t="s">
        <v>150</v>
      </c>
      <c r="D6" s="5" t="s">
        <v>151</v>
      </c>
      <c r="E6" s="7">
        <v>220</v>
      </c>
    </row>
    <row r="7" spans="1:5" x14ac:dyDescent="0.3">
      <c r="A7" s="8" t="s">
        <v>162</v>
      </c>
      <c r="B7" s="8" t="s">
        <v>163</v>
      </c>
      <c r="C7" s="8" t="s">
        <v>164</v>
      </c>
      <c r="D7" s="8" t="s">
        <v>165</v>
      </c>
      <c r="E7" s="10">
        <v>180</v>
      </c>
    </row>
    <row r="8" spans="1:5" x14ac:dyDescent="0.3">
      <c r="A8" s="5" t="s">
        <v>166</v>
      </c>
      <c r="B8" s="5" t="s">
        <v>167</v>
      </c>
      <c r="C8" s="5" t="s">
        <v>164</v>
      </c>
      <c r="D8" s="5" t="s">
        <v>165</v>
      </c>
      <c r="E8" s="7">
        <v>180</v>
      </c>
    </row>
    <row r="9" spans="1:5" x14ac:dyDescent="0.3">
      <c r="A9" s="8" t="s">
        <v>168</v>
      </c>
      <c r="B9" s="8" t="s">
        <v>169</v>
      </c>
      <c r="C9" s="8" t="s">
        <v>164</v>
      </c>
      <c r="D9" s="8" t="s">
        <v>170</v>
      </c>
      <c r="E9" s="10">
        <v>200</v>
      </c>
    </row>
    <row r="10" spans="1:5" x14ac:dyDescent="0.3">
      <c r="A10" s="5" t="s">
        <v>171</v>
      </c>
      <c r="B10" s="5" t="s">
        <v>172</v>
      </c>
      <c r="C10" s="5" t="s">
        <v>164</v>
      </c>
      <c r="D10" s="5" t="s">
        <v>165</v>
      </c>
      <c r="E10" s="7">
        <v>200</v>
      </c>
    </row>
    <row r="11" spans="1:5" x14ac:dyDescent="0.3">
      <c r="A11" s="8" t="s">
        <v>173</v>
      </c>
      <c r="B11" s="8" t="s">
        <v>174</v>
      </c>
      <c r="C11" s="8" t="s">
        <v>164</v>
      </c>
      <c r="D11" s="8" t="s">
        <v>170</v>
      </c>
      <c r="E11" s="10">
        <v>220</v>
      </c>
    </row>
    <row r="12" spans="1:5" x14ac:dyDescent="0.3">
      <c r="A12" s="5" t="s">
        <v>175</v>
      </c>
      <c r="B12" s="5" t="s">
        <v>176</v>
      </c>
      <c r="C12" s="5" t="s">
        <v>177</v>
      </c>
      <c r="D12" s="5" t="s">
        <v>178</v>
      </c>
      <c r="E12" s="7">
        <v>250</v>
      </c>
    </row>
    <row r="13" spans="1:5" x14ac:dyDescent="0.3">
      <c r="A13" s="8" t="s">
        <v>179</v>
      </c>
      <c r="B13" s="8" t="s">
        <v>180</v>
      </c>
      <c r="C13" s="8" t="s">
        <v>177</v>
      </c>
      <c r="D13" s="8" t="s">
        <v>181</v>
      </c>
      <c r="E13" s="10">
        <v>280</v>
      </c>
    </row>
    <row r="14" spans="1:5" x14ac:dyDescent="0.3">
      <c r="A14" s="5" t="s">
        <v>182</v>
      </c>
      <c r="B14" s="5" t="s">
        <v>183</v>
      </c>
      <c r="C14" s="5" t="s">
        <v>177</v>
      </c>
      <c r="D14" s="5" t="s">
        <v>184</v>
      </c>
      <c r="E14" s="7">
        <v>220</v>
      </c>
    </row>
    <row r="15" spans="1:5" x14ac:dyDescent="0.3">
      <c r="A15" s="8" t="s">
        <v>185</v>
      </c>
      <c r="B15" s="8" t="s">
        <v>186</v>
      </c>
      <c r="C15" s="8" t="s">
        <v>187</v>
      </c>
      <c r="D15" s="8" t="s">
        <v>188</v>
      </c>
      <c r="E15" s="10">
        <v>220</v>
      </c>
    </row>
    <row r="16" spans="1:5" x14ac:dyDescent="0.3">
      <c r="A16" s="5" t="s">
        <v>189</v>
      </c>
      <c r="B16" s="5" t="s">
        <v>190</v>
      </c>
      <c r="C16" s="5" t="s">
        <v>187</v>
      </c>
      <c r="D16" s="5" t="s">
        <v>191</v>
      </c>
      <c r="E16" s="7">
        <v>280</v>
      </c>
    </row>
    <row r="17" spans="1:5" x14ac:dyDescent="0.3">
      <c r="A17" s="8" t="s">
        <v>192</v>
      </c>
      <c r="B17" s="8" t="s">
        <v>193</v>
      </c>
      <c r="C17" s="8" t="s">
        <v>187</v>
      </c>
      <c r="D17" s="8" t="s">
        <v>194</v>
      </c>
      <c r="E17" s="10">
        <v>300</v>
      </c>
    </row>
    <row r="18" spans="1:5" x14ac:dyDescent="0.3">
      <c r="A18" s="5" t="s">
        <v>195</v>
      </c>
      <c r="B18" s="5" t="s">
        <v>196</v>
      </c>
      <c r="C18" s="5" t="s">
        <v>197</v>
      </c>
      <c r="D18" s="5" t="s">
        <v>198</v>
      </c>
      <c r="E18" s="7">
        <v>180</v>
      </c>
    </row>
    <row r="19" spans="1:5" x14ac:dyDescent="0.3">
      <c r="A19" s="8" t="s">
        <v>199</v>
      </c>
      <c r="B19" s="8" t="s">
        <v>200</v>
      </c>
      <c r="C19" s="8" t="s">
        <v>197</v>
      </c>
      <c r="D19" s="8" t="s">
        <v>201</v>
      </c>
      <c r="E19" s="10">
        <v>150</v>
      </c>
    </row>
    <row r="20" spans="1:5" x14ac:dyDescent="0.3">
      <c r="A20" s="5" t="s">
        <v>202</v>
      </c>
      <c r="B20" s="5" t="s">
        <v>203</v>
      </c>
      <c r="C20" s="5" t="s">
        <v>197</v>
      </c>
      <c r="D20" s="5" t="s">
        <v>201</v>
      </c>
      <c r="E20" s="7">
        <v>300</v>
      </c>
    </row>
    <row r="21" spans="1:5" x14ac:dyDescent="0.3">
      <c r="A21" s="8" t="s">
        <v>204</v>
      </c>
      <c r="B21" s="8" t="s">
        <v>205</v>
      </c>
      <c r="C21" s="8" t="s">
        <v>206</v>
      </c>
      <c r="D21" s="8" t="s">
        <v>207</v>
      </c>
      <c r="E21" s="10">
        <v>150</v>
      </c>
    </row>
    <row r="22" spans="1:5" x14ac:dyDescent="0.3">
      <c r="A22" s="5" t="s">
        <v>208</v>
      </c>
      <c r="B22" s="5" t="s">
        <v>209</v>
      </c>
      <c r="C22" s="5" t="s">
        <v>206</v>
      </c>
      <c r="D22" s="5" t="s">
        <v>210</v>
      </c>
      <c r="E22" s="7">
        <v>250</v>
      </c>
    </row>
    <row r="23" spans="1:5" x14ac:dyDescent="0.3">
      <c r="A23" s="8" t="s">
        <v>211</v>
      </c>
      <c r="B23" s="8" t="s">
        <v>212</v>
      </c>
      <c r="C23" s="8" t="s">
        <v>206</v>
      </c>
      <c r="D23" s="8" t="s">
        <v>210</v>
      </c>
      <c r="E23" s="10">
        <v>180</v>
      </c>
    </row>
    <row r="24" spans="1:5" x14ac:dyDescent="0.3">
      <c r="A24" s="5" t="s">
        <v>213</v>
      </c>
      <c r="B24" s="5" t="s">
        <v>214</v>
      </c>
      <c r="C24" s="5" t="s">
        <v>206</v>
      </c>
      <c r="D24" s="5" t="s">
        <v>210</v>
      </c>
      <c r="E24" s="7">
        <v>180</v>
      </c>
    </row>
    <row r="25" spans="1:5" x14ac:dyDescent="0.3">
      <c r="A25" s="8" t="s">
        <v>215</v>
      </c>
      <c r="B25" s="8" t="s">
        <v>216</v>
      </c>
      <c r="C25" s="8" t="s">
        <v>206</v>
      </c>
      <c r="D25" s="8" t="s">
        <v>210</v>
      </c>
      <c r="E25" s="10">
        <v>200</v>
      </c>
    </row>
    <row r="26" spans="1:5" x14ac:dyDescent="0.3">
      <c r="A26" s="5" t="s">
        <v>217</v>
      </c>
      <c r="B26" s="5" t="s">
        <v>218</v>
      </c>
      <c r="C26" s="5" t="s">
        <v>219</v>
      </c>
      <c r="D26" s="5" t="s">
        <v>220</v>
      </c>
      <c r="E26" s="7">
        <v>250</v>
      </c>
    </row>
    <row r="27" spans="1:5" x14ac:dyDescent="0.3">
      <c r="A27" s="8" t="s">
        <v>221</v>
      </c>
      <c r="B27" s="8" t="s">
        <v>222</v>
      </c>
      <c r="C27" s="8" t="s">
        <v>219</v>
      </c>
      <c r="D27" s="8" t="s">
        <v>220</v>
      </c>
      <c r="E27" s="10">
        <v>250</v>
      </c>
    </row>
    <row r="28" spans="1:5" x14ac:dyDescent="0.3">
      <c r="A28" s="5" t="s">
        <v>223</v>
      </c>
      <c r="B28" s="5" t="s">
        <v>224</v>
      </c>
      <c r="C28" s="5" t="s">
        <v>219</v>
      </c>
      <c r="D28" s="5" t="s">
        <v>220</v>
      </c>
      <c r="E28" s="7">
        <v>200</v>
      </c>
    </row>
  </sheetData>
  <pageMargins left="0.75" right="0.75" top="1" bottom="1" header="0.511811023622047" footer="0.511811023622047"/>
  <pageSetup paperSize="9" orientation="portrait" horizontalDpi="300" verticalDpi="30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57B88-D097-4DBF-B416-754D3D113826}">
  <dimension ref="A1:Z316"/>
  <sheetViews>
    <sheetView topLeftCell="P1" workbookViewId="0">
      <selection activeCell="F15" sqref="F15"/>
    </sheetView>
  </sheetViews>
  <sheetFormatPr defaultRowHeight="14.4" x14ac:dyDescent="0.3"/>
  <cols>
    <col min="1" max="1" width="9.77734375" bestFit="1" customWidth="1"/>
    <col min="2" max="2" width="12" bestFit="1" customWidth="1"/>
    <col min="3" max="3" width="23.33203125" bestFit="1" customWidth="1"/>
    <col min="4" max="4" width="34.6640625" bestFit="1" customWidth="1"/>
    <col min="5" max="5" width="13.33203125" bestFit="1" customWidth="1"/>
    <col min="6" max="6" width="16.88671875" bestFit="1" customWidth="1"/>
    <col min="7" max="7" width="9.33203125" bestFit="1" customWidth="1"/>
    <col min="8" max="8" width="14.33203125" bestFit="1" customWidth="1"/>
    <col min="9" max="9" width="14.77734375" bestFit="1" customWidth="1"/>
    <col min="10" max="10" width="13.21875" bestFit="1" customWidth="1"/>
    <col min="11" max="11" width="12.109375" bestFit="1" customWidth="1"/>
    <col min="12" max="12" width="19.44140625" bestFit="1" customWidth="1"/>
    <col min="13" max="13" width="17.77734375" bestFit="1" customWidth="1"/>
    <col min="14" max="14" width="23.77734375" bestFit="1" customWidth="1"/>
    <col min="15" max="15" width="12.88671875" bestFit="1" customWidth="1"/>
    <col min="16" max="16" width="20.109375" bestFit="1" customWidth="1"/>
    <col min="17" max="17" width="17.88671875" bestFit="1" customWidth="1"/>
    <col min="18" max="18" width="9.21875" bestFit="1" customWidth="1"/>
    <col min="19" max="19" width="22.88671875" bestFit="1" customWidth="1"/>
    <col min="20" max="20" width="13.5546875" bestFit="1" customWidth="1"/>
    <col min="21" max="21" width="15.33203125" bestFit="1" customWidth="1"/>
    <col min="22" max="22" width="17.77734375" style="30" bestFit="1" customWidth="1"/>
    <col min="23" max="23" width="10" bestFit="1" customWidth="1"/>
    <col min="24" max="24" width="20" bestFit="1" customWidth="1"/>
    <col min="25" max="25" width="18.21875" bestFit="1" customWidth="1"/>
    <col min="26" max="26" width="18.44140625" bestFit="1" customWidth="1"/>
  </cols>
  <sheetData>
    <row r="1" spans="1:26" x14ac:dyDescent="0.3">
      <c r="A1" t="s">
        <v>225</v>
      </c>
      <c r="B1" t="s">
        <v>75</v>
      </c>
      <c r="C1" t="s">
        <v>76</v>
      </c>
      <c r="D1" t="s">
        <v>226</v>
      </c>
      <c r="E1" t="s">
        <v>145</v>
      </c>
      <c r="F1" t="s">
        <v>227</v>
      </c>
      <c r="G1" t="s">
        <v>228</v>
      </c>
      <c r="H1" t="s">
        <v>229</v>
      </c>
      <c r="I1" t="s">
        <v>232</v>
      </c>
      <c r="J1" t="s">
        <v>233</v>
      </c>
      <c r="K1" t="s">
        <v>79</v>
      </c>
      <c r="L1" t="s">
        <v>230</v>
      </c>
      <c r="M1" t="s">
        <v>231</v>
      </c>
      <c r="N1" t="s">
        <v>1433</v>
      </c>
      <c r="O1" t="s">
        <v>1434</v>
      </c>
      <c r="P1" t="s">
        <v>77</v>
      </c>
      <c r="Q1" t="s">
        <v>78</v>
      </c>
      <c r="R1" t="s">
        <v>80</v>
      </c>
      <c r="S1" t="s">
        <v>1450</v>
      </c>
      <c r="T1" t="s">
        <v>147</v>
      </c>
      <c r="U1" t="s">
        <v>1451</v>
      </c>
      <c r="V1" s="30" t="s">
        <v>1452</v>
      </c>
      <c r="W1" t="s">
        <v>1453</v>
      </c>
      <c r="X1" t="s">
        <v>1454</v>
      </c>
      <c r="Y1" t="s">
        <v>1455</v>
      </c>
      <c r="Z1" t="s">
        <v>1463</v>
      </c>
    </row>
    <row r="2" spans="1:26" x14ac:dyDescent="0.3">
      <c r="A2" t="s">
        <v>234</v>
      </c>
      <c r="B2" t="s">
        <v>96</v>
      </c>
      <c r="C2" t="s">
        <v>97</v>
      </c>
      <c r="D2" t="s">
        <v>235</v>
      </c>
      <c r="E2" t="s">
        <v>177</v>
      </c>
      <c r="F2" t="s">
        <v>200</v>
      </c>
      <c r="G2" t="s">
        <v>281</v>
      </c>
      <c r="H2" t="s">
        <v>269</v>
      </c>
      <c r="I2">
        <v>1500</v>
      </c>
      <c r="J2">
        <v>1396</v>
      </c>
      <c r="K2" s="22">
        <v>45478</v>
      </c>
      <c r="L2" s="22">
        <v>45506</v>
      </c>
      <c r="M2" s="22">
        <v>45513</v>
      </c>
      <c r="N2">
        <v>28</v>
      </c>
      <c r="O2">
        <v>7</v>
      </c>
      <c r="P2" t="s">
        <v>98</v>
      </c>
      <c r="Q2" t="s">
        <v>99</v>
      </c>
      <c r="R2">
        <v>75000</v>
      </c>
      <c r="S2" t="s">
        <v>197</v>
      </c>
      <c r="T2">
        <v>150</v>
      </c>
      <c r="U2" s="29">
        <f>tbl_Tasks_Clean[[#This Row],[Actual_Cost]]-tbl_Tasks_Clean[[#This Row],[Planned_Cost]]</f>
        <v>-104</v>
      </c>
      <c r="V2" s="30">
        <f>IFERROR(tbl_Tasks_Clean[[#This Row],[Cost_Variance]]/tbl_Tasks_Clean[[#This Row],[Planned_Cost]],0)</f>
        <v>-6.933333333333333E-2</v>
      </c>
      <c r="W2" t="str">
        <f>IF(AND(tbl_Tasks_Clean[[#This Row],[Status]]="Completed",tbl_Tasks_Clean[[#This Row],[Delay_Days]]&lt;=0),"On Time",IF(AND(tbl_Tasks_Clean[[#This Row],[Status]]="Completed",tbl_Tasks_Clean[[#This Row],[Delay_Days]]&gt;0),"Late","N/A"))</f>
        <v>N/A</v>
      </c>
      <c r="X2" s="29" t="str" cm="1">
        <f t="array" ref="X2">_xlfn.IFS(tbl_Tasks_Clean[[#This Row],[Planned_Duration_Days]]&lt;=7,"Short (&lt;=7 days)",tbl_Tasks_Clean[[#This Row],[Planned_Duration_Days]]&lt;=20,"Medium (8-20 days)",TRUE,"Long (&gt;20 days)")</f>
        <v>Long (&gt;20 days)</v>
      </c>
      <c r="Y2" s="29" t="str">
        <f>INDEX(Projects!$D:$D,MATCH(tbl_Tasks_Clean[[#This Row],[Project_ID]],Projects!$A:$A,0))</f>
        <v>Laila Samir</v>
      </c>
      <c r="Z2" s="29" t="str">
        <f>IF(tbl_Tasks_Clean[[#This Row],[Delay_Days]]&gt;0,"Delayed by "&amp;TEXT(tbl_Tasks_Clean[[#This Row],[Delay_Days]],"0")&amp;" days",IF(tbl_Tasks_Clean[[#This Row],[Delay_Days]]&lt;0,"Early by "&amp;TEXT(-tbl_Tasks_Clean[[#This Row],[Delay_Days]],"0")&amp;" days","On schedule"))</f>
        <v>Delayed by 7 days</v>
      </c>
    </row>
    <row r="3" spans="1:26" x14ac:dyDescent="0.3">
      <c r="A3" t="s">
        <v>285</v>
      </c>
      <c r="B3" t="s">
        <v>81</v>
      </c>
      <c r="C3" t="s">
        <v>82</v>
      </c>
      <c r="D3" t="s">
        <v>286</v>
      </c>
      <c r="E3" t="s">
        <v>164</v>
      </c>
      <c r="F3" t="s">
        <v>200</v>
      </c>
      <c r="G3" t="s">
        <v>281</v>
      </c>
      <c r="H3" t="s">
        <v>287</v>
      </c>
      <c r="I3">
        <v>1500</v>
      </c>
      <c r="J3">
        <v>618</v>
      </c>
      <c r="K3" s="22">
        <v>45518</v>
      </c>
      <c r="L3" s="22">
        <v>45542</v>
      </c>
      <c r="M3" s="22"/>
      <c r="N3">
        <v>24</v>
      </c>
      <c r="O3">
        <v>0</v>
      </c>
      <c r="P3" t="s">
        <v>83</v>
      </c>
      <c r="Q3" t="s">
        <v>84</v>
      </c>
      <c r="R3">
        <v>75000</v>
      </c>
      <c r="S3" t="s">
        <v>197</v>
      </c>
      <c r="T3">
        <v>150</v>
      </c>
      <c r="U3" s="29">
        <f>tbl_Tasks_Clean[[#This Row],[Actual_Cost]]-tbl_Tasks_Clean[[#This Row],[Planned_Cost]]</f>
        <v>-882</v>
      </c>
      <c r="V3" s="30">
        <f>IFERROR(tbl_Tasks_Clean[[#This Row],[Cost_Variance]]/tbl_Tasks_Clean[[#This Row],[Planned_Cost]],0)</f>
        <v>-0.58799999999999997</v>
      </c>
      <c r="W3" t="str">
        <f>IF(AND(tbl_Tasks_Clean[[#This Row],[Status]]="Completed",tbl_Tasks_Clean[[#This Row],[Delay_Days]]&lt;=0),"On Time",IF(AND(tbl_Tasks_Clean[[#This Row],[Status]]="Completed",tbl_Tasks_Clean[[#This Row],[Delay_Days]]&gt;0),"Late","N/A"))</f>
        <v>N/A</v>
      </c>
      <c r="X3" s="29" t="str" cm="1">
        <f t="array" ref="X3">_xlfn.IFS(tbl_Tasks_Clean[[#This Row],[Planned_Duration_Days]]&lt;=7,"Short (&lt;=7 days)",tbl_Tasks_Clean[[#This Row],[Planned_Duration_Days]]&lt;=20,"Medium (8-20 days)",TRUE,"Long (&gt;20 days)")</f>
        <v>Long (&gt;20 days)</v>
      </c>
      <c r="Y3" s="29" t="str">
        <f>INDEX(Projects!$D:$D,MATCH(tbl_Tasks_Clean[[#This Row],[Project_ID]],Projects!$A:$A,0))</f>
        <v>Mona Farid</v>
      </c>
      <c r="Z3" s="29" t="str">
        <f>IF(tbl_Tasks_Clean[[#This Row],[Delay_Days]]&gt;0,"Delayed by "&amp;TEXT(tbl_Tasks_Clean[[#This Row],[Delay_Days]],"0")&amp;" days",IF(tbl_Tasks_Clean[[#This Row],[Delay_Days]]&lt;0,"Early by "&amp;TEXT(-tbl_Tasks_Clean[[#This Row],[Delay_Days]],"0")&amp;" days","On schedule"))</f>
        <v>On schedule</v>
      </c>
    </row>
    <row r="4" spans="1:26" x14ac:dyDescent="0.3">
      <c r="A4" t="s">
        <v>322</v>
      </c>
      <c r="B4" t="s">
        <v>91</v>
      </c>
      <c r="C4" t="s">
        <v>92</v>
      </c>
      <c r="D4" t="s">
        <v>1436</v>
      </c>
      <c r="E4" t="s">
        <v>150</v>
      </c>
      <c r="F4" t="s">
        <v>200</v>
      </c>
      <c r="G4" t="s">
        <v>281</v>
      </c>
      <c r="H4" t="s">
        <v>314</v>
      </c>
      <c r="I4">
        <v>4000</v>
      </c>
      <c r="J4">
        <v>5187</v>
      </c>
      <c r="K4" s="22">
        <v>45450</v>
      </c>
      <c r="L4" s="22">
        <v>45473</v>
      </c>
      <c r="M4" s="22">
        <v>45470</v>
      </c>
      <c r="N4">
        <v>23</v>
      </c>
      <c r="O4">
        <v>-3</v>
      </c>
      <c r="P4" t="s">
        <v>93</v>
      </c>
      <c r="Q4" t="s">
        <v>94</v>
      </c>
      <c r="R4">
        <v>100000</v>
      </c>
      <c r="S4" t="s">
        <v>197</v>
      </c>
      <c r="T4">
        <v>150</v>
      </c>
      <c r="U4" s="29">
        <f>tbl_Tasks_Clean[[#This Row],[Actual_Cost]]-tbl_Tasks_Clean[[#This Row],[Planned_Cost]]</f>
        <v>1187</v>
      </c>
      <c r="V4" s="30">
        <f>IFERROR(tbl_Tasks_Clean[[#This Row],[Cost_Variance]]/tbl_Tasks_Clean[[#This Row],[Planned_Cost]],0)</f>
        <v>0.29675000000000001</v>
      </c>
      <c r="W4" t="str">
        <f>IF(AND(tbl_Tasks_Clean[[#This Row],[Status]]="Completed",tbl_Tasks_Clean[[#This Row],[Delay_Days]]&lt;=0),"On Time",IF(AND(tbl_Tasks_Clean[[#This Row],[Status]]="Completed",tbl_Tasks_Clean[[#This Row],[Delay_Days]]&gt;0),"Late","N/A"))</f>
        <v>On Time</v>
      </c>
      <c r="X4" s="29" t="str" cm="1">
        <f t="array" ref="X4">_xlfn.IFS(tbl_Tasks_Clean[[#This Row],[Planned_Duration_Days]]&lt;=7,"Short (&lt;=7 days)",tbl_Tasks_Clean[[#This Row],[Planned_Duration_Days]]&lt;=20,"Medium (8-20 days)",TRUE,"Long (&gt;20 days)")</f>
        <v>Long (&gt;20 days)</v>
      </c>
      <c r="Y4" s="29" t="str">
        <f>INDEX(Projects!$D:$D,MATCH(tbl_Tasks_Clean[[#This Row],[Project_ID]],Projects!$A:$A,0))</f>
        <v>Ahmed Nabil</v>
      </c>
      <c r="Z4" s="29" t="str">
        <f>IF(tbl_Tasks_Clean[[#This Row],[Delay_Days]]&gt;0,"Delayed by "&amp;TEXT(tbl_Tasks_Clean[[#This Row],[Delay_Days]],"0")&amp;" days",IF(tbl_Tasks_Clean[[#This Row],[Delay_Days]]&lt;0,"Early by "&amp;TEXT(-tbl_Tasks_Clean[[#This Row],[Delay_Days]],"0")&amp;" days","On schedule"))</f>
        <v>Early by 3 days</v>
      </c>
    </row>
    <row r="5" spans="1:26" x14ac:dyDescent="0.3">
      <c r="A5" t="s">
        <v>388</v>
      </c>
      <c r="B5" t="s">
        <v>96</v>
      </c>
      <c r="C5" t="s">
        <v>97</v>
      </c>
      <c r="D5" t="s">
        <v>389</v>
      </c>
      <c r="E5" t="s">
        <v>187</v>
      </c>
      <c r="F5" t="s">
        <v>153</v>
      </c>
      <c r="G5" t="s">
        <v>350</v>
      </c>
      <c r="H5" t="s">
        <v>356</v>
      </c>
      <c r="I5">
        <v>0</v>
      </c>
      <c r="J5">
        <v>6098</v>
      </c>
      <c r="K5" s="22">
        <v>45594</v>
      </c>
      <c r="L5" s="22">
        <v>45599</v>
      </c>
      <c r="M5" s="22">
        <v>45598</v>
      </c>
      <c r="N5">
        <v>5</v>
      </c>
      <c r="O5">
        <v>-1</v>
      </c>
      <c r="P5" t="s">
        <v>98</v>
      </c>
      <c r="Q5" t="s">
        <v>99</v>
      </c>
      <c r="R5">
        <v>75000</v>
      </c>
      <c r="S5" t="s">
        <v>150</v>
      </c>
      <c r="T5">
        <v>220</v>
      </c>
      <c r="U5" s="29">
        <f>tbl_Tasks_Clean[[#This Row],[Actual_Cost]]-tbl_Tasks_Clean[[#This Row],[Planned_Cost]]</f>
        <v>6098</v>
      </c>
      <c r="V5" s="30">
        <f>IFERROR(tbl_Tasks_Clean[[#This Row],[Cost_Variance]]/tbl_Tasks_Clean[[#This Row],[Planned_Cost]],0)</f>
        <v>0</v>
      </c>
      <c r="W5" t="str">
        <f>IF(AND(tbl_Tasks_Clean[[#This Row],[Status]]="Completed",tbl_Tasks_Clean[[#This Row],[Delay_Days]]&lt;=0),"On Time",IF(AND(tbl_Tasks_Clean[[#This Row],[Status]]="Completed",tbl_Tasks_Clean[[#This Row],[Delay_Days]]&gt;0),"Late","N/A"))</f>
        <v>N/A</v>
      </c>
      <c r="X5" s="29" t="str" cm="1">
        <f t="array" ref="X5">_xlfn.IFS(tbl_Tasks_Clean[[#This Row],[Planned_Duration_Days]]&lt;=7,"Short (&lt;=7 days)",tbl_Tasks_Clean[[#This Row],[Planned_Duration_Days]]&lt;=20,"Medium (8-20 days)",TRUE,"Long (&gt;20 days)")</f>
        <v>Short (&lt;=7 days)</v>
      </c>
      <c r="Y5" s="29" t="str">
        <f>INDEX(Projects!$D:$D,MATCH(tbl_Tasks_Clean[[#This Row],[Project_ID]],Projects!$A:$A,0))</f>
        <v>Laila Samir</v>
      </c>
      <c r="Z5" s="29" t="str">
        <f>IF(tbl_Tasks_Clean[[#This Row],[Delay_Days]]&gt;0,"Delayed by "&amp;TEXT(tbl_Tasks_Clean[[#This Row],[Delay_Days]],"0")&amp;" days",IF(tbl_Tasks_Clean[[#This Row],[Delay_Days]]&lt;0,"Early by "&amp;TEXT(-tbl_Tasks_Clean[[#This Row],[Delay_Days]],"0")&amp;" days","On schedule"))</f>
        <v>Early by 1 days</v>
      </c>
    </row>
    <row r="6" spans="1:26" x14ac:dyDescent="0.3">
      <c r="A6" t="s">
        <v>242</v>
      </c>
      <c r="B6" t="s">
        <v>136</v>
      </c>
      <c r="C6" t="s">
        <v>137</v>
      </c>
      <c r="D6" t="s">
        <v>243</v>
      </c>
      <c r="E6" t="s">
        <v>164</v>
      </c>
      <c r="F6" t="s">
        <v>190</v>
      </c>
      <c r="G6" t="s">
        <v>350</v>
      </c>
      <c r="H6" t="s">
        <v>287</v>
      </c>
      <c r="I6">
        <v>4000</v>
      </c>
      <c r="J6">
        <v>1731</v>
      </c>
      <c r="K6" s="22">
        <v>45435</v>
      </c>
      <c r="L6" s="22">
        <v>45463</v>
      </c>
      <c r="M6" s="22"/>
      <c r="N6">
        <v>28</v>
      </c>
      <c r="O6">
        <v>0</v>
      </c>
      <c r="P6" t="s">
        <v>138</v>
      </c>
      <c r="Q6" t="s">
        <v>94</v>
      </c>
      <c r="R6">
        <v>300000</v>
      </c>
      <c r="S6" t="s">
        <v>187</v>
      </c>
      <c r="T6">
        <v>280</v>
      </c>
      <c r="U6" s="29">
        <f>tbl_Tasks_Clean[[#This Row],[Actual_Cost]]-tbl_Tasks_Clean[[#This Row],[Planned_Cost]]</f>
        <v>-2269</v>
      </c>
      <c r="V6" s="30">
        <f>IFERROR(tbl_Tasks_Clean[[#This Row],[Cost_Variance]]/tbl_Tasks_Clean[[#This Row],[Planned_Cost]],0)</f>
        <v>-0.56725000000000003</v>
      </c>
      <c r="W6" t="str">
        <f>IF(AND(tbl_Tasks_Clean[[#This Row],[Status]]="Completed",tbl_Tasks_Clean[[#This Row],[Delay_Days]]&lt;=0),"On Time",IF(AND(tbl_Tasks_Clean[[#This Row],[Status]]="Completed",tbl_Tasks_Clean[[#This Row],[Delay_Days]]&gt;0),"Late","N/A"))</f>
        <v>N/A</v>
      </c>
      <c r="X6" s="29" t="str" cm="1">
        <f t="array" ref="X6">_xlfn.IFS(tbl_Tasks_Clean[[#This Row],[Planned_Duration_Days]]&lt;=7,"Short (&lt;=7 days)",tbl_Tasks_Clean[[#This Row],[Planned_Duration_Days]]&lt;=20,"Medium (8-20 days)",TRUE,"Long (&gt;20 days)")</f>
        <v>Long (&gt;20 days)</v>
      </c>
      <c r="Y6" s="29" t="str">
        <f>INDEX(Projects!$D:$D,MATCH(tbl_Tasks_Clean[[#This Row],[Project_ID]],Projects!$A:$A,0))</f>
        <v>Ahmed Nabil</v>
      </c>
      <c r="Z6" s="29" t="str">
        <f>IF(tbl_Tasks_Clean[[#This Row],[Delay_Days]]&gt;0,"Delayed by "&amp;TEXT(tbl_Tasks_Clean[[#This Row],[Delay_Days]],"0")&amp;" days",IF(tbl_Tasks_Clean[[#This Row],[Delay_Days]]&lt;0,"Early by "&amp;TEXT(-tbl_Tasks_Clean[[#This Row],[Delay_Days]],"0")&amp;" days","On schedule"))</f>
        <v>On schedule</v>
      </c>
    </row>
    <row r="7" spans="1:26" x14ac:dyDescent="0.3">
      <c r="A7" t="s">
        <v>362</v>
      </c>
      <c r="B7" t="s">
        <v>101</v>
      </c>
      <c r="C7" t="s">
        <v>102</v>
      </c>
      <c r="D7" t="s">
        <v>363</v>
      </c>
      <c r="E7" t="s">
        <v>177</v>
      </c>
      <c r="F7" t="s">
        <v>190</v>
      </c>
      <c r="G7" t="s">
        <v>250</v>
      </c>
      <c r="H7" t="s">
        <v>314</v>
      </c>
      <c r="I7">
        <v>2000</v>
      </c>
      <c r="J7">
        <v>2594</v>
      </c>
      <c r="K7" s="22"/>
      <c r="L7" s="22"/>
      <c r="M7" s="22"/>
      <c r="O7">
        <v>0</v>
      </c>
      <c r="P7" t="s">
        <v>103</v>
      </c>
      <c r="Q7" t="s">
        <v>94</v>
      </c>
      <c r="R7">
        <v>50000</v>
      </c>
      <c r="S7" t="s">
        <v>187</v>
      </c>
      <c r="T7">
        <v>280</v>
      </c>
      <c r="U7" s="29">
        <f>tbl_Tasks_Clean[[#This Row],[Actual_Cost]]-tbl_Tasks_Clean[[#This Row],[Planned_Cost]]</f>
        <v>594</v>
      </c>
      <c r="V7" s="30">
        <f>IFERROR(tbl_Tasks_Clean[[#This Row],[Cost_Variance]]/tbl_Tasks_Clean[[#This Row],[Planned_Cost]],0)</f>
        <v>0.29699999999999999</v>
      </c>
      <c r="W7" t="str">
        <f>IF(AND(tbl_Tasks_Clean[[#This Row],[Status]]="Completed",tbl_Tasks_Clean[[#This Row],[Delay_Days]]&lt;=0),"On Time",IF(AND(tbl_Tasks_Clean[[#This Row],[Status]]="Completed",tbl_Tasks_Clean[[#This Row],[Delay_Days]]&gt;0),"Late","N/A"))</f>
        <v>On Time</v>
      </c>
      <c r="X7" s="29" t="str" cm="1">
        <f t="array" ref="X7">_xlfn.IFS(tbl_Tasks_Clean[[#This Row],[Planned_Duration_Days]]&lt;=7,"Short (&lt;=7 days)",tbl_Tasks_Clean[[#This Row],[Planned_Duration_Days]]&lt;=20,"Medium (8-20 days)",TRUE,"Long (&gt;20 days)")</f>
        <v>Short (&lt;=7 days)</v>
      </c>
      <c r="Y7" s="29" t="str">
        <f>INDEX(Projects!$D:$D,MATCH(tbl_Tasks_Clean[[#This Row],[Project_ID]],Projects!$A:$A,0))</f>
        <v>Ahmed Nabil</v>
      </c>
      <c r="Z7" s="29" t="str">
        <f>IF(tbl_Tasks_Clean[[#This Row],[Delay_Days]]&gt;0,"Delayed by "&amp;TEXT(tbl_Tasks_Clean[[#This Row],[Delay_Days]],"0")&amp;" days",IF(tbl_Tasks_Clean[[#This Row],[Delay_Days]]&lt;0,"Early by "&amp;TEXT(-tbl_Tasks_Clean[[#This Row],[Delay_Days]],"0")&amp;" days","On schedule"))</f>
        <v>On schedule</v>
      </c>
    </row>
    <row r="8" spans="1:26" x14ac:dyDescent="0.3">
      <c r="A8" t="s">
        <v>369</v>
      </c>
      <c r="B8" t="s">
        <v>122</v>
      </c>
      <c r="C8" t="s">
        <v>123</v>
      </c>
      <c r="D8" t="s">
        <v>370</v>
      </c>
      <c r="E8" t="s">
        <v>150</v>
      </c>
      <c r="F8" t="s">
        <v>190</v>
      </c>
      <c r="G8" t="s">
        <v>281</v>
      </c>
      <c r="H8" t="s">
        <v>276</v>
      </c>
      <c r="I8">
        <v>8000</v>
      </c>
      <c r="J8">
        <v>0</v>
      </c>
      <c r="K8" s="22">
        <v>45462</v>
      </c>
      <c r="L8" s="22">
        <v>45467</v>
      </c>
      <c r="M8" s="22"/>
      <c r="N8">
        <v>5</v>
      </c>
      <c r="O8">
        <v>0</v>
      </c>
      <c r="P8" t="s">
        <v>111</v>
      </c>
      <c r="Q8" t="s">
        <v>124</v>
      </c>
      <c r="R8">
        <v>150000</v>
      </c>
      <c r="S8" t="s">
        <v>187</v>
      </c>
      <c r="T8">
        <v>280</v>
      </c>
      <c r="U8" s="29">
        <f>tbl_Tasks_Clean[[#This Row],[Actual_Cost]]-tbl_Tasks_Clean[[#This Row],[Planned_Cost]]</f>
        <v>-8000</v>
      </c>
      <c r="V8" s="30">
        <f>IFERROR(tbl_Tasks_Clean[[#This Row],[Cost_Variance]]/tbl_Tasks_Clean[[#This Row],[Planned_Cost]],0)</f>
        <v>-1</v>
      </c>
      <c r="W8" t="str">
        <f>IF(AND(tbl_Tasks_Clean[[#This Row],[Status]]="Completed",tbl_Tasks_Clean[[#This Row],[Delay_Days]]&lt;=0),"On Time",IF(AND(tbl_Tasks_Clean[[#This Row],[Status]]="Completed",tbl_Tasks_Clean[[#This Row],[Delay_Days]]&gt;0),"Late","N/A"))</f>
        <v>N/A</v>
      </c>
      <c r="X8" s="29" t="str" cm="1">
        <f t="array" ref="X8">_xlfn.IFS(tbl_Tasks_Clean[[#This Row],[Planned_Duration_Days]]&lt;=7,"Short (&lt;=7 days)",tbl_Tasks_Clean[[#This Row],[Planned_Duration_Days]]&lt;=20,"Medium (8-20 days)",TRUE,"Long (&gt;20 days)")</f>
        <v>Short (&lt;=7 days)</v>
      </c>
      <c r="Y8" s="29" t="str">
        <f>INDEX(Projects!$D:$D,MATCH(tbl_Tasks_Clean[[#This Row],[Project_ID]],Projects!$A:$A,0))</f>
        <v>Sara Hassan</v>
      </c>
      <c r="Z8" s="29" t="str">
        <f>IF(tbl_Tasks_Clean[[#This Row],[Delay_Days]]&gt;0,"Delayed by "&amp;TEXT(tbl_Tasks_Clean[[#This Row],[Delay_Days]],"0")&amp;" days",IF(tbl_Tasks_Clean[[#This Row],[Delay_Days]]&lt;0,"Early by "&amp;TEXT(-tbl_Tasks_Clean[[#This Row],[Delay_Days]],"0")&amp;" days","On schedule"))</f>
        <v>On schedule</v>
      </c>
    </row>
    <row r="9" spans="1:26" x14ac:dyDescent="0.3">
      <c r="A9" t="s">
        <v>373</v>
      </c>
      <c r="B9" t="s">
        <v>129</v>
      </c>
      <c r="C9" t="s">
        <v>130</v>
      </c>
      <c r="D9" t="s">
        <v>1438</v>
      </c>
      <c r="E9" t="s">
        <v>187</v>
      </c>
      <c r="F9" t="s">
        <v>190</v>
      </c>
      <c r="G9" t="s">
        <v>250</v>
      </c>
      <c r="H9" t="s">
        <v>314</v>
      </c>
      <c r="I9">
        <v>1500</v>
      </c>
      <c r="J9">
        <v>1982</v>
      </c>
      <c r="K9" s="22">
        <v>45348</v>
      </c>
      <c r="L9" s="22">
        <v>45366</v>
      </c>
      <c r="M9" s="22">
        <v>45366</v>
      </c>
      <c r="N9">
        <v>18</v>
      </c>
      <c r="O9">
        <v>0</v>
      </c>
      <c r="P9" t="s">
        <v>131</v>
      </c>
      <c r="Q9" t="s">
        <v>94</v>
      </c>
      <c r="R9">
        <v>250000</v>
      </c>
      <c r="S9" t="s">
        <v>187</v>
      </c>
      <c r="T9">
        <v>280</v>
      </c>
      <c r="U9" s="29">
        <f>tbl_Tasks_Clean[[#This Row],[Actual_Cost]]-tbl_Tasks_Clean[[#This Row],[Planned_Cost]]</f>
        <v>482</v>
      </c>
      <c r="V9" s="30">
        <f>IFERROR(tbl_Tasks_Clean[[#This Row],[Cost_Variance]]/tbl_Tasks_Clean[[#This Row],[Planned_Cost]],0)</f>
        <v>0.32133333333333336</v>
      </c>
      <c r="W9" t="str">
        <f>IF(AND(tbl_Tasks_Clean[[#This Row],[Status]]="Completed",tbl_Tasks_Clean[[#This Row],[Delay_Days]]&lt;=0),"On Time",IF(AND(tbl_Tasks_Clean[[#This Row],[Status]]="Completed",tbl_Tasks_Clean[[#This Row],[Delay_Days]]&gt;0),"Late","N/A"))</f>
        <v>On Time</v>
      </c>
      <c r="X9" s="29" t="str" cm="1">
        <f t="array" ref="X9">_xlfn.IFS(tbl_Tasks_Clean[[#This Row],[Planned_Duration_Days]]&lt;=7,"Short (&lt;=7 days)",tbl_Tasks_Clean[[#This Row],[Planned_Duration_Days]]&lt;=20,"Medium (8-20 days)",TRUE,"Long (&gt;20 days)")</f>
        <v>Medium (8-20 days)</v>
      </c>
      <c r="Y9" s="29" t="str">
        <f>INDEX(Projects!$D:$D,MATCH(tbl_Tasks_Clean[[#This Row],[Project_ID]],Projects!$A:$A,0))</f>
        <v>Ahmed Nabil</v>
      </c>
      <c r="Z9" s="29" t="str">
        <f>IF(tbl_Tasks_Clean[[#This Row],[Delay_Days]]&gt;0,"Delayed by "&amp;TEXT(tbl_Tasks_Clean[[#This Row],[Delay_Days]],"0")&amp;" days",IF(tbl_Tasks_Clean[[#This Row],[Delay_Days]]&lt;0,"Early by "&amp;TEXT(-tbl_Tasks_Clean[[#This Row],[Delay_Days]],"0")&amp;" days","On schedule"))</f>
        <v>On schedule</v>
      </c>
    </row>
    <row r="10" spans="1:26" x14ac:dyDescent="0.3">
      <c r="A10" t="s">
        <v>317</v>
      </c>
      <c r="B10" t="s">
        <v>113</v>
      </c>
      <c r="C10" t="s">
        <v>114</v>
      </c>
      <c r="D10" t="s">
        <v>280</v>
      </c>
      <c r="F10" t="s">
        <v>155</v>
      </c>
      <c r="G10" t="s">
        <v>281</v>
      </c>
      <c r="H10" t="s">
        <v>319</v>
      </c>
      <c r="I10">
        <v>10000</v>
      </c>
      <c r="J10">
        <v>5964</v>
      </c>
      <c r="K10" s="22">
        <v>45395</v>
      </c>
      <c r="L10" s="22">
        <v>45419</v>
      </c>
      <c r="M10" s="22"/>
      <c r="N10">
        <v>24</v>
      </c>
      <c r="O10">
        <v>0</v>
      </c>
      <c r="P10" t="s">
        <v>115</v>
      </c>
      <c r="Q10" t="s">
        <v>116</v>
      </c>
      <c r="R10">
        <v>300000</v>
      </c>
      <c r="S10" t="s">
        <v>150</v>
      </c>
      <c r="T10">
        <v>280</v>
      </c>
      <c r="U10" s="29">
        <f>tbl_Tasks_Clean[[#This Row],[Actual_Cost]]-tbl_Tasks_Clean[[#This Row],[Planned_Cost]]</f>
        <v>-4036</v>
      </c>
      <c r="V10" s="30">
        <f>IFERROR(tbl_Tasks_Clean[[#This Row],[Cost_Variance]]/tbl_Tasks_Clean[[#This Row],[Planned_Cost]],0)</f>
        <v>-0.40360000000000001</v>
      </c>
      <c r="W10" t="str">
        <f>IF(AND(tbl_Tasks_Clean[[#This Row],[Status]]="Completed",tbl_Tasks_Clean[[#This Row],[Delay_Days]]&lt;=0),"On Time",IF(AND(tbl_Tasks_Clean[[#This Row],[Status]]="Completed",tbl_Tasks_Clean[[#This Row],[Delay_Days]]&gt;0),"Late","N/A"))</f>
        <v>N/A</v>
      </c>
      <c r="X10" s="29" t="str" cm="1">
        <f t="array" ref="X10">_xlfn.IFS(tbl_Tasks_Clean[[#This Row],[Planned_Duration_Days]]&lt;=7,"Short (&lt;=7 days)",tbl_Tasks_Clean[[#This Row],[Planned_Duration_Days]]&lt;=20,"Medium (8-20 days)",TRUE,"Long (&gt;20 days)")</f>
        <v>Long (&gt;20 days)</v>
      </c>
      <c r="Y10" s="29" t="str">
        <f>INDEX(Projects!$D:$D,MATCH(tbl_Tasks_Clean[[#This Row],[Project_ID]],Projects!$A:$A,0))</f>
        <v>Nourhan Tarek</v>
      </c>
      <c r="Z10" s="29" t="str">
        <f>IF(tbl_Tasks_Clean[[#This Row],[Delay_Days]]&gt;0,"Delayed by "&amp;TEXT(tbl_Tasks_Clean[[#This Row],[Delay_Days]],"0")&amp;" days",IF(tbl_Tasks_Clean[[#This Row],[Delay_Days]]&lt;0,"Early by "&amp;TEXT(-tbl_Tasks_Clean[[#This Row],[Delay_Days]],"0")&amp;" days","On schedule"))</f>
        <v>On schedule</v>
      </c>
    </row>
    <row r="11" spans="1:26" x14ac:dyDescent="0.3">
      <c r="A11" t="s">
        <v>327</v>
      </c>
      <c r="B11" t="s">
        <v>136</v>
      </c>
      <c r="C11" t="s">
        <v>137</v>
      </c>
      <c r="D11" t="s">
        <v>1437</v>
      </c>
      <c r="E11" t="s">
        <v>150</v>
      </c>
      <c r="F11" t="s">
        <v>224</v>
      </c>
      <c r="G11" t="s">
        <v>250</v>
      </c>
      <c r="H11" t="s">
        <v>314</v>
      </c>
      <c r="I11">
        <v>1000</v>
      </c>
      <c r="J11">
        <v>1263</v>
      </c>
      <c r="K11" s="22"/>
      <c r="L11" s="22"/>
      <c r="M11" s="22"/>
      <c r="O11">
        <v>0</v>
      </c>
      <c r="P11" t="s">
        <v>138</v>
      </c>
      <c r="Q11" t="s">
        <v>94</v>
      </c>
      <c r="R11">
        <v>300000</v>
      </c>
      <c r="S11" t="s">
        <v>219</v>
      </c>
      <c r="T11">
        <v>200</v>
      </c>
      <c r="U11" s="29">
        <f>tbl_Tasks_Clean[[#This Row],[Actual_Cost]]-tbl_Tasks_Clean[[#This Row],[Planned_Cost]]</f>
        <v>263</v>
      </c>
      <c r="V11" s="30">
        <f>IFERROR(tbl_Tasks_Clean[[#This Row],[Cost_Variance]]/tbl_Tasks_Clean[[#This Row],[Planned_Cost]],0)</f>
        <v>0.26300000000000001</v>
      </c>
      <c r="W11" t="str">
        <f>IF(AND(tbl_Tasks_Clean[[#This Row],[Status]]="Completed",tbl_Tasks_Clean[[#This Row],[Delay_Days]]&lt;=0),"On Time",IF(AND(tbl_Tasks_Clean[[#This Row],[Status]]="Completed",tbl_Tasks_Clean[[#This Row],[Delay_Days]]&gt;0),"Late","N/A"))</f>
        <v>On Time</v>
      </c>
      <c r="X11" s="29" t="str" cm="1">
        <f t="array" ref="X11">_xlfn.IFS(tbl_Tasks_Clean[[#This Row],[Planned_Duration_Days]]&lt;=7,"Short (&lt;=7 days)",tbl_Tasks_Clean[[#This Row],[Planned_Duration_Days]]&lt;=20,"Medium (8-20 days)",TRUE,"Long (&gt;20 days)")</f>
        <v>Short (&lt;=7 days)</v>
      </c>
      <c r="Y11" s="29" t="str">
        <f>INDEX(Projects!$D:$D,MATCH(tbl_Tasks_Clean[[#This Row],[Project_ID]],Projects!$A:$A,0))</f>
        <v>Ahmed Nabil</v>
      </c>
      <c r="Z11" s="29" t="str">
        <f>IF(tbl_Tasks_Clean[[#This Row],[Delay_Days]]&gt;0,"Delayed by "&amp;TEXT(tbl_Tasks_Clean[[#This Row],[Delay_Days]],"0")&amp;" days",IF(tbl_Tasks_Clean[[#This Row],[Delay_Days]]&lt;0,"Early by "&amp;TEXT(-tbl_Tasks_Clean[[#This Row],[Delay_Days]],"0")&amp;" days","On schedule"))</f>
        <v>On schedule</v>
      </c>
    </row>
    <row r="12" spans="1:26" x14ac:dyDescent="0.3">
      <c r="A12" t="s">
        <v>354</v>
      </c>
      <c r="B12" t="s">
        <v>122</v>
      </c>
      <c r="C12" t="s">
        <v>123</v>
      </c>
      <c r="D12" t="s">
        <v>355</v>
      </c>
      <c r="E12" t="s">
        <v>150</v>
      </c>
      <c r="F12" t="s">
        <v>224</v>
      </c>
      <c r="G12" t="s">
        <v>350</v>
      </c>
      <c r="H12" t="s">
        <v>356</v>
      </c>
      <c r="I12">
        <v>2500</v>
      </c>
      <c r="J12">
        <v>2216</v>
      </c>
      <c r="K12" s="22">
        <v>45404</v>
      </c>
      <c r="L12" s="22">
        <v>45414</v>
      </c>
      <c r="M12" s="22">
        <v>45416</v>
      </c>
      <c r="N12">
        <v>10</v>
      </c>
      <c r="O12">
        <v>2</v>
      </c>
      <c r="P12" t="s">
        <v>111</v>
      </c>
      <c r="Q12" t="s">
        <v>124</v>
      </c>
      <c r="R12">
        <v>150000</v>
      </c>
      <c r="S12" t="s">
        <v>219</v>
      </c>
      <c r="T12">
        <v>200</v>
      </c>
      <c r="U12" s="29">
        <f>tbl_Tasks_Clean[[#This Row],[Actual_Cost]]-tbl_Tasks_Clean[[#This Row],[Planned_Cost]]</f>
        <v>-284</v>
      </c>
      <c r="V12" s="30">
        <f>IFERROR(tbl_Tasks_Clean[[#This Row],[Cost_Variance]]/tbl_Tasks_Clean[[#This Row],[Planned_Cost]],0)</f>
        <v>-0.11360000000000001</v>
      </c>
      <c r="W12" t="str">
        <f>IF(AND(tbl_Tasks_Clean[[#This Row],[Status]]="Completed",tbl_Tasks_Clean[[#This Row],[Delay_Days]]&lt;=0),"On Time",IF(AND(tbl_Tasks_Clean[[#This Row],[Status]]="Completed",tbl_Tasks_Clean[[#This Row],[Delay_Days]]&gt;0),"Late","N/A"))</f>
        <v>N/A</v>
      </c>
      <c r="X12" s="29" t="str" cm="1">
        <f t="array" ref="X12">_xlfn.IFS(tbl_Tasks_Clean[[#This Row],[Planned_Duration_Days]]&lt;=7,"Short (&lt;=7 days)",tbl_Tasks_Clean[[#This Row],[Planned_Duration_Days]]&lt;=20,"Medium (8-20 days)",TRUE,"Long (&gt;20 days)")</f>
        <v>Medium (8-20 days)</v>
      </c>
      <c r="Y12" s="29" t="str">
        <f>INDEX(Projects!$D:$D,MATCH(tbl_Tasks_Clean[[#This Row],[Project_ID]],Projects!$A:$A,0))</f>
        <v>Sara Hassan</v>
      </c>
      <c r="Z12" s="29" t="str">
        <f>IF(tbl_Tasks_Clean[[#This Row],[Delay_Days]]&gt;0,"Delayed by "&amp;TEXT(tbl_Tasks_Clean[[#This Row],[Delay_Days]],"0")&amp;" days",IF(tbl_Tasks_Clean[[#This Row],[Delay_Days]]&lt;0,"Early by "&amp;TEXT(-tbl_Tasks_Clean[[#This Row],[Delay_Days]],"0")&amp;" days","On schedule"))</f>
        <v>Delayed by 2 days</v>
      </c>
    </row>
    <row r="13" spans="1:26" x14ac:dyDescent="0.3">
      <c r="A13" t="s">
        <v>298</v>
      </c>
      <c r="B13" t="s">
        <v>126</v>
      </c>
      <c r="C13" t="s">
        <v>127</v>
      </c>
      <c r="D13" t="s">
        <v>299</v>
      </c>
      <c r="E13" t="s">
        <v>150</v>
      </c>
      <c r="F13" t="s">
        <v>158</v>
      </c>
      <c r="G13" t="s">
        <v>350</v>
      </c>
      <c r="H13" t="s">
        <v>287</v>
      </c>
      <c r="I13">
        <v>4000</v>
      </c>
      <c r="J13">
        <v>2110</v>
      </c>
      <c r="K13" s="22">
        <v>45473</v>
      </c>
      <c r="L13" s="22">
        <v>45488</v>
      </c>
      <c r="M13" s="22"/>
      <c r="N13">
        <v>15</v>
      </c>
      <c r="O13">
        <v>0</v>
      </c>
      <c r="P13" t="s">
        <v>128</v>
      </c>
      <c r="Q13" t="s">
        <v>94</v>
      </c>
      <c r="R13">
        <v>200000</v>
      </c>
      <c r="S13" t="s">
        <v>150</v>
      </c>
      <c r="T13">
        <v>180</v>
      </c>
      <c r="U13" s="29">
        <f>tbl_Tasks_Clean[[#This Row],[Actual_Cost]]-tbl_Tasks_Clean[[#This Row],[Planned_Cost]]</f>
        <v>-1890</v>
      </c>
      <c r="V13" s="30">
        <f>IFERROR(tbl_Tasks_Clean[[#This Row],[Cost_Variance]]/tbl_Tasks_Clean[[#This Row],[Planned_Cost]],0)</f>
        <v>-0.47249999999999998</v>
      </c>
      <c r="W13" t="str">
        <f>IF(AND(tbl_Tasks_Clean[[#This Row],[Status]]="Completed",tbl_Tasks_Clean[[#This Row],[Delay_Days]]&lt;=0),"On Time",IF(AND(tbl_Tasks_Clean[[#This Row],[Status]]="Completed",tbl_Tasks_Clean[[#This Row],[Delay_Days]]&gt;0),"Late","N/A"))</f>
        <v>N/A</v>
      </c>
      <c r="X13" s="29" t="str" cm="1">
        <f t="array" ref="X13">_xlfn.IFS(tbl_Tasks_Clean[[#This Row],[Planned_Duration_Days]]&lt;=7,"Short (&lt;=7 days)",tbl_Tasks_Clean[[#This Row],[Planned_Duration_Days]]&lt;=20,"Medium (8-20 days)",TRUE,"Long (&gt;20 days)")</f>
        <v>Medium (8-20 days)</v>
      </c>
      <c r="Y13" s="29" t="str">
        <f>INDEX(Projects!$D:$D,MATCH(tbl_Tasks_Clean[[#This Row],[Project_ID]],Projects!$A:$A,0))</f>
        <v>Ahmed Nabil</v>
      </c>
      <c r="Z13" s="29" t="str">
        <f>IF(tbl_Tasks_Clean[[#This Row],[Delay_Days]]&gt;0,"Delayed by "&amp;TEXT(tbl_Tasks_Clean[[#This Row],[Delay_Days]],"0")&amp;" days",IF(tbl_Tasks_Clean[[#This Row],[Delay_Days]]&lt;0,"Early by "&amp;TEXT(-tbl_Tasks_Clean[[#This Row],[Delay_Days]],"0")&amp;" days","On schedule"))</f>
        <v>On schedule</v>
      </c>
    </row>
    <row r="14" spans="1:26" x14ac:dyDescent="0.3">
      <c r="A14" t="s">
        <v>333</v>
      </c>
      <c r="B14" t="s">
        <v>86</v>
      </c>
      <c r="C14" t="s">
        <v>87</v>
      </c>
      <c r="D14" t="s">
        <v>334</v>
      </c>
      <c r="E14" t="s">
        <v>206</v>
      </c>
      <c r="F14" t="s">
        <v>158</v>
      </c>
      <c r="G14" t="s">
        <v>350</v>
      </c>
      <c r="H14" t="s">
        <v>276</v>
      </c>
      <c r="I14">
        <v>6000</v>
      </c>
      <c r="J14">
        <v>0</v>
      </c>
      <c r="K14" s="22">
        <v>45513</v>
      </c>
      <c r="L14" s="22">
        <v>45536</v>
      </c>
      <c r="M14" s="22"/>
      <c r="N14">
        <v>23</v>
      </c>
      <c r="O14">
        <v>0</v>
      </c>
      <c r="P14" t="s">
        <v>88</v>
      </c>
      <c r="Q14" t="s">
        <v>89</v>
      </c>
      <c r="R14">
        <v>150000</v>
      </c>
      <c r="S14" t="s">
        <v>150</v>
      </c>
      <c r="T14">
        <v>180</v>
      </c>
      <c r="U14" s="29">
        <f>tbl_Tasks_Clean[[#This Row],[Actual_Cost]]-tbl_Tasks_Clean[[#This Row],[Planned_Cost]]</f>
        <v>-6000</v>
      </c>
      <c r="V14" s="30">
        <f>IFERROR(tbl_Tasks_Clean[[#This Row],[Cost_Variance]]/tbl_Tasks_Clean[[#This Row],[Planned_Cost]],0)</f>
        <v>-1</v>
      </c>
      <c r="W14" t="str">
        <f>IF(AND(tbl_Tasks_Clean[[#This Row],[Status]]="Completed",tbl_Tasks_Clean[[#This Row],[Delay_Days]]&lt;=0),"On Time",IF(AND(tbl_Tasks_Clean[[#This Row],[Status]]="Completed",tbl_Tasks_Clean[[#This Row],[Delay_Days]]&gt;0),"Late","N/A"))</f>
        <v>N/A</v>
      </c>
      <c r="X14" s="29" t="str" cm="1">
        <f t="array" ref="X14">_xlfn.IFS(tbl_Tasks_Clean[[#This Row],[Planned_Duration_Days]]&lt;=7,"Short (&lt;=7 days)",tbl_Tasks_Clean[[#This Row],[Planned_Duration_Days]]&lt;=20,"Medium (8-20 days)",TRUE,"Long (&gt;20 days)")</f>
        <v>Long (&gt;20 days)</v>
      </c>
      <c r="Y14" s="29" t="str">
        <f>INDEX(Projects!$D:$D,MATCH(tbl_Tasks_Clean[[#This Row],[Project_ID]],Projects!$A:$A,0))</f>
        <v>Youssef Adel</v>
      </c>
      <c r="Z14" s="29" t="str">
        <f>IF(tbl_Tasks_Clean[[#This Row],[Delay_Days]]&gt;0,"Delayed by "&amp;TEXT(tbl_Tasks_Clean[[#This Row],[Delay_Days]],"0")&amp;" days",IF(tbl_Tasks_Clean[[#This Row],[Delay_Days]]&lt;0,"Early by "&amp;TEXT(-tbl_Tasks_Clean[[#This Row],[Delay_Days]],"0")&amp;" days","On schedule"))</f>
        <v>On schedule</v>
      </c>
    </row>
    <row r="15" spans="1:26" x14ac:dyDescent="0.3">
      <c r="A15" t="s">
        <v>247</v>
      </c>
      <c r="B15" t="s">
        <v>126</v>
      </c>
      <c r="C15" t="s">
        <v>127</v>
      </c>
      <c r="D15" t="s">
        <v>578</v>
      </c>
      <c r="E15" t="s">
        <v>187</v>
      </c>
      <c r="F15" t="s">
        <v>180</v>
      </c>
      <c r="G15" t="s">
        <v>250</v>
      </c>
      <c r="H15" t="s">
        <v>287</v>
      </c>
      <c r="I15">
        <v>1500</v>
      </c>
      <c r="J15">
        <v>377</v>
      </c>
      <c r="K15" s="22">
        <v>45385</v>
      </c>
      <c r="L15" s="22">
        <v>45412</v>
      </c>
      <c r="M15" s="22"/>
      <c r="N15">
        <v>27</v>
      </c>
      <c r="O15">
        <v>0</v>
      </c>
      <c r="P15" t="s">
        <v>128</v>
      </c>
      <c r="Q15" t="s">
        <v>94</v>
      </c>
      <c r="R15">
        <v>200000</v>
      </c>
      <c r="S15" t="s">
        <v>177</v>
      </c>
      <c r="T15">
        <v>280</v>
      </c>
      <c r="U15" s="29">
        <f>tbl_Tasks_Clean[[#This Row],[Actual_Cost]]-tbl_Tasks_Clean[[#This Row],[Planned_Cost]]</f>
        <v>-1123</v>
      </c>
      <c r="V15" s="30">
        <f>IFERROR(tbl_Tasks_Clean[[#This Row],[Cost_Variance]]/tbl_Tasks_Clean[[#This Row],[Planned_Cost]],0)</f>
        <v>-0.7486666666666667</v>
      </c>
      <c r="W15" t="str">
        <f>IF(AND(tbl_Tasks_Clean[[#This Row],[Status]]="Completed",tbl_Tasks_Clean[[#This Row],[Delay_Days]]&lt;=0),"On Time",IF(AND(tbl_Tasks_Clean[[#This Row],[Status]]="Completed",tbl_Tasks_Clean[[#This Row],[Delay_Days]]&gt;0),"Late","N/A"))</f>
        <v>N/A</v>
      </c>
      <c r="X15" s="29" t="str" cm="1">
        <f t="array" ref="X15">_xlfn.IFS(tbl_Tasks_Clean[[#This Row],[Planned_Duration_Days]]&lt;=7,"Short (&lt;=7 days)",tbl_Tasks_Clean[[#This Row],[Planned_Duration_Days]]&lt;=20,"Medium (8-20 days)",TRUE,"Long (&gt;20 days)")</f>
        <v>Long (&gt;20 days)</v>
      </c>
      <c r="Y15" s="29" t="str">
        <f>INDEX(Projects!$D:$D,MATCH(tbl_Tasks_Clean[[#This Row],[Project_ID]],Projects!$A:$A,0))</f>
        <v>Ahmed Nabil</v>
      </c>
      <c r="Z15" s="29" t="str">
        <f>IF(tbl_Tasks_Clean[[#This Row],[Delay_Days]]&gt;0,"Delayed by "&amp;TEXT(tbl_Tasks_Clean[[#This Row],[Delay_Days]],"0")&amp;" days",IF(tbl_Tasks_Clean[[#This Row],[Delay_Days]]&lt;0,"Early by "&amp;TEXT(-tbl_Tasks_Clean[[#This Row],[Delay_Days]],"0")&amp;" days","On schedule"))</f>
        <v>On schedule</v>
      </c>
    </row>
    <row r="16" spans="1:26" x14ac:dyDescent="0.3">
      <c r="A16" t="s">
        <v>305</v>
      </c>
      <c r="B16" t="s">
        <v>101</v>
      </c>
      <c r="C16" t="s">
        <v>102</v>
      </c>
      <c r="D16" t="s">
        <v>306</v>
      </c>
      <c r="E16" t="s">
        <v>187</v>
      </c>
      <c r="F16" t="s">
        <v>161</v>
      </c>
      <c r="G16" t="s">
        <v>281</v>
      </c>
      <c r="H16" t="s">
        <v>314</v>
      </c>
      <c r="I16">
        <v>0</v>
      </c>
      <c r="J16">
        <v>2553</v>
      </c>
      <c r="K16" s="22">
        <v>45301</v>
      </c>
      <c r="L16" s="22">
        <v>45306</v>
      </c>
      <c r="M16" s="22">
        <v>45303</v>
      </c>
      <c r="N16">
        <v>5</v>
      </c>
      <c r="O16">
        <v>-3</v>
      </c>
      <c r="P16" t="s">
        <v>103</v>
      </c>
      <c r="Q16" t="s">
        <v>94</v>
      </c>
      <c r="R16">
        <v>50000</v>
      </c>
      <c r="S16" t="s">
        <v>150</v>
      </c>
      <c r="T16">
        <v>220</v>
      </c>
      <c r="U16" s="29">
        <f>tbl_Tasks_Clean[[#This Row],[Actual_Cost]]-tbl_Tasks_Clean[[#This Row],[Planned_Cost]]</f>
        <v>2553</v>
      </c>
      <c r="V16" s="30">
        <f>IFERROR(tbl_Tasks_Clean[[#This Row],[Cost_Variance]]/tbl_Tasks_Clean[[#This Row],[Planned_Cost]],0)</f>
        <v>0</v>
      </c>
      <c r="W16" t="str">
        <f>IF(AND(tbl_Tasks_Clean[[#This Row],[Status]]="Completed",tbl_Tasks_Clean[[#This Row],[Delay_Days]]&lt;=0),"On Time",IF(AND(tbl_Tasks_Clean[[#This Row],[Status]]="Completed",tbl_Tasks_Clean[[#This Row],[Delay_Days]]&gt;0),"Late","N/A"))</f>
        <v>On Time</v>
      </c>
      <c r="X16" s="29" t="str" cm="1">
        <f t="array" ref="X16">_xlfn.IFS(tbl_Tasks_Clean[[#This Row],[Planned_Duration_Days]]&lt;=7,"Short (&lt;=7 days)",tbl_Tasks_Clean[[#This Row],[Planned_Duration_Days]]&lt;=20,"Medium (8-20 days)",TRUE,"Long (&gt;20 days)")</f>
        <v>Short (&lt;=7 days)</v>
      </c>
      <c r="Y16" s="29" t="str">
        <f>INDEX(Projects!$D:$D,MATCH(tbl_Tasks_Clean[[#This Row],[Project_ID]],Projects!$A:$A,0))</f>
        <v>Ahmed Nabil</v>
      </c>
      <c r="Z16" s="29" t="str">
        <f>IF(tbl_Tasks_Clean[[#This Row],[Delay_Days]]&gt;0,"Delayed by "&amp;TEXT(tbl_Tasks_Clean[[#This Row],[Delay_Days]],"0")&amp;" days",IF(tbl_Tasks_Clean[[#This Row],[Delay_Days]]&lt;0,"Early by "&amp;TEXT(-tbl_Tasks_Clean[[#This Row],[Delay_Days]],"0")&amp;" days","On schedule"))</f>
        <v>Early by 3 days</v>
      </c>
    </row>
    <row r="17" spans="1:26" x14ac:dyDescent="0.3">
      <c r="A17" t="s">
        <v>347</v>
      </c>
      <c r="B17" t="s">
        <v>126</v>
      </c>
      <c r="C17" t="s">
        <v>127</v>
      </c>
      <c r="D17" t="s">
        <v>348</v>
      </c>
      <c r="E17" t="s">
        <v>150</v>
      </c>
      <c r="F17" t="s">
        <v>163</v>
      </c>
      <c r="G17" t="s">
        <v>350</v>
      </c>
      <c r="H17" t="s">
        <v>276</v>
      </c>
      <c r="I17">
        <v>5000</v>
      </c>
      <c r="J17">
        <v>0</v>
      </c>
      <c r="K17" s="22">
        <v>45434</v>
      </c>
      <c r="L17" s="22">
        <v>45442</v>
      </c>
      <c r="M17" s="22"/>
      <c r="N17">
        <v>8</v>
      </c>
      <c r="O17">
        <v>0</v>
      </c>
      <c r="P17" t="s">
        <v>128</v>
      </c>
      <c r="Q17" t="s">
        <v>94</v>
      </c>
      <c r="R17">
        <v>200000</v>
      </c>
      <c r="S17" t="s">
        <v>164</v>
      </c>
      <c r="T17">
        <v>180</v>
      </c>
      <c r="U17" s="29">
        <f>tbl_Tasks_Clean[[#This Row],[Actual_Cost]]-tbl_Tasks_Clean[[#This Row],[Planned_Cost]]</f>
        <v>-5000</v>
      </c>
      <c r="V17" s="30">
        <f>IFERROR(tbl_Tasks_Clean[[#This Row],[Cost_Variance]]/tbl_Tasks_Clean[[#This Row],[Planned_Cost]],0)</f>
        <v>-1</v>
      </c>
      <c r="W17" t="str">
        <f>IF(AND(tbl_Tasks_Clean[[#This Row],[Status]]="Completed",tbl_Tasks_Clean[[#This Row],[Delay_Days]]&lt;=0),"On Time",IF(AND(tbl_Tasks_Clean[[#This Row],[Status]]="Completed",tbl_Tasks_Clean[[#This Row],[Delay_Days]]&gt;0),"Late","N/A"))</f>
        <v>N/A</v>
      </c>
      <c r="X17" s="29" t="str" cm="1">
        <f t="array" ref="X17">_xlfn.IFS(tbl_Tasks_Clean[[#This Row],[Planned_Duration_Days]]&lt;=7,"Short (&lt;=7 days)",tbl_Tasks_Clean[[#This Row],[Planned_Duration_Days]]&lt;=20,"Medium (8-20 days)",TRUE,"Long (&gt;20 days)")</f>
        <v>Medium (8-20 days)</v>
      </c>
      <c r="Y17" s="29" t="str">
        <f>INDEX(Projects!$D:$D,MATCH(tbl_Tasks_Clean[[#This Row],[Project_ID]],Projects!$A:$A,0))</f>
        <v>Ahmed Nabil</v>
      </c>
      <c r="Z17" s="29" t="str">
        <f>IF(tbl_Tasks_Clean[[#This Row],[Delay_Days]]&gt;0,"Delayed by "&amp;TEXT(tbl_Tasks_Clean[[#This Row],[Delay_Days]],"0")&amp;" days",IF(tbl_Tasks_Clean[[#This Row],[Delay_Days]]&lt;0,"Early by "&amp;TEXT(-tbl_Tasks_Clean[[#This Row],[Delay_Days]],"0")&amp;" days","On schedule"))</f>
        <v>On schedule</v>
      </c>
    </row>
    <row r="18" spans="1:26" x14ac:dyDescent="0.3">
      <c r="A18" t="s">
        <v>279</v>
      </c>
      <c r="B18" t="s">
        <v>91</v>
      </c>
      <c r="C18" t="s">
        <v>92</v>
      </c>
      <c r="D18" t="s">
        <v>280</v>
      </c>
      <c r="F18" t="s">
        <v>205</v>
      </c>
      <c r="G18" t="s">
        <v>281</v>
      </c>
      <c r="H18" t="s">
        <v>276</v>
      </c>
      <c r="I18">
        <v>1000</v>
      </c>
      <c r="J18">
        <v>0</v>
      </c>
      <c r="K18" s="22">
        <v>45493</v>
      </c>
      <c r="L18" s="22">
        <v>45523</v>
      </c>
      <c r="M18" s="22"/>
      <c r="N18">
        <v>30</v>
      </c>
      <c r="O18">
        <v>0</v>
      </c>
      <c r="P18" t="s">
        <v>93</v>
      </c>
      <c r="Q18" t="s">
        <v>94</v>
      </c>
      <c r="R18">
        <v>100000</v>
      </c>
      <c r="S18" t="s">
        <v>206</v>
      </c>
      <c r="T18">
        <v>150</v>
      </c>
      <c r="U18" s="29">
        <f>tbl_Tasks_Clean[[#This Row],[Actual_Cost]]-tbl_Tasks_Clean[[#This Row],[Planned_Cost]]</f>
        <v>-1000</v>
      </c>
      <c r="V18" s="30">
        <f>IFERROR(tbl_Tasks_Clean[[#This Row],[Cost_Variance]]/tbl_Tasks_Clean[[#This Row],[Planned_Cost]],0)</f>
        <v>-1</v>
      </c>
      <c r="W18" t="str">
        <f>IF(AND(tbl_Tasks_Clean[[#This Row],[Status]]="Completed",tbl_Tasks_Clean[[#This Row],[Delay_Days]]&lt;=0),"On Time",IF(AND(tbl_Tasks_Clean[[#This Row],[Status]]="Completed",tbl_Tasks_Clean[[#This Row],[Delay_Days]]&gt;0),"Late","N/A"))</f>
        <v>N/A</v>
      </c>
      <c r="X18" s="29" t="str" cm="1">
        <f t="array" ref="X18">_xlfn.IFS(tbl_Tasks_Clean[[#This Row],[Planned_Duration_Days]]&lt;=7,"Short (&lt;=7 days)",tbl_Tasks_Clean[[#This Row],[Planned_Duration_Days]]&lt;=20,"Medium (8-20 days)",TRUE,"Long (&gt;20 days)")</f>
        <v>Long (&gt;20 days)</v>
      </c>
      <c r="Y18" s="29" t="str">
        <f>INDEX(Projects!$D:$D,MATCH(tbl_Tasks_Clean[[#This Row],[Project_ID]],Projects!$A:$A,0))</f>
        <v>Ahmed Nabil</v>
      </c>
      <c r="Z18" s="29" t="str">
        <f>IF(tbl_Tasks_Clean[[#This Row],[Delay_Days]]&gt;0,"Delayed by "&amp;TEXT(tbl_Tasks_Clean[[#This Row],[Delay_Days]],"0")&amp;" days",IF(tbl_Tasks_Clean[[#This Row],[Delay_Days]]&lt;0,"Early by "&amp;TEXT(-tbl_Tasks_Clean[[#This Row],[Delay_Days]],"0")&amp;" days","On schedule"))</f>
        <v>On schedule</v>
      </c>
    </row>
    <row r="19" spans="1:26" x14ac:dyDescent="0.3">
      <c r="A19" t="s">
        <v>376</v>
      </c>
      <c r="B19" t="s">
        <v>126</v>
      </c>
      <c r="C19" t="s">
        <v>127</v>
      </c>
      <c r="D19" t="s">
        <v>377</v>
      </c>
      <c r="E19" t="s">
        <v>187</v>
      </c>
      <c r="F19" t="s">
        <v>167</v>
      </c>
      <c r="G19" t="s">
        <v>250</v>
      </c>
      <c r="H19" t="s">
        <v>287</v>
      </c>
      <c r="I19">
        <v>1500</v>
      </c>
      <c r="J19">
        <v>598</v>
      </c>
      <c r="K19" s="22">
        <v>45387</v>
      </c>
      <c r="L19" s="22">
        <v>45391</v>
      </c>
      <c r="M19" s="22"/>
      <c r="N19">
        <v>4</v>
      </c>
      <c r="O19">
        <v>0</v>
      </c>
      <c r="P19" t="s">
        <v>128</v>
      </c>
      <c r="Q19" t="s">
        <v>94</v>
      </c>
      <c r="R19">
        <v>200000</v>
      </c>
      <c r="S19" t="s">
        <v>164</v>
      </c>
      <c r="T19">
        <v>180</v>
      </c>
      <c r="U19" s="29">
        <f>tbl_Tasks_Clean[[#This Row],[Actual_Cost]]-tbl_Tasks_Clean[[#This Row],[Planned_Cost]]</f>
        <v>-902</v>
      </c>
      <c r="V19" s="30">
        <f>IFERROR(tbl_Tasks_Clean[[#This Row],[Cost_Variance]]/tbl_Tasks_Clean[[#This Row],[Planned_Cost]],0)</f>
        <v>-0.60133333333333339</v>
      </c>
      <c r="W19" t="str">
        <f>IF(AND(tbl_Tasks_Clean[[#This Row],[Status]]="Completed",tbl_Tasks_Clean[[#This Row],[Delay_Days]]&lt;=0),"On Time",IF(AND(tbl_Tasks_Clean[[#This Row],[Status]]="Completed",tbl_Tasks_Clean[[#This Row],[Delay_Days]]&gt;0),"Late","N/A"))</f>
        <v>N/A</v>
      </c>
      <c r="X19" s="29" t="str" cm="1">
        <f t="array" ref="X19">_xlfn.IFS(tbl_Tasks_Clean[[#This Row],[Planned_Duration_Days]]&lt;=7,"Short (&lt;=7 days)",tbl_Tasks_Clean[[#This Row],[Planned_Duration_Days]]&lt;=20,"Medium (8-20 days)",TRUE,"Long (&gt;20 days)")</f>
        <v>Short (&lt;=7 days)</v>
      </c>
      <c r="Y19" s="29" t="str">
        <f>INDEX(Projects!$D:$D,MATCH(tbl_Tasks_Clean[[#This Row],[Project_ID]],Projects!$A:$A,0))</f>
        <v>Ahmed Nabil</v>
      </c>
      <c r="Z19" s="29" t="str">
        <f>IF(tbl_Tasks_Clean[[#This Row],[Delay_Days]]&gt;0,"Delayed by "&amp;TEXT(tbl_Tasks_Clean[[#This Row],[Delay_Days]],"0")&amp;" days",IF(tbl_Tasks_Clean[[#This Row],[Delay_Days]]&lt;0,"Early by "&amp;TEXT(-tbl_Tasks_Clean[[#This Row],[Delay_Days]],"0")&amp;" days","On schedule"))</f>
        <v>On schedule</v>
      </c>
    </row>
    <row r="20" spans="1:26" x14ac:dyDescent="0.3">
      <c r="A20" t="s">
        <v>343</v>
      </c>
      <c r="B20" t="s">
        <v>86</v>
      </c>
      <c r="C20" t="s">
        <v>87</v>
      </c>
      <c r="D20" t="s">
        <v>344</v>
      </c>
      <c r="E20" t="s">
        <v>177</v>
      </c>
      <c r="F20" t="s">
        <v>169</v>
      </c>
      <c r="G20" t="s">
        <v>250</v>
      </c>
      <c r="H20" t="s">
        <v>314</v>
      </c>
      <c r="I20">
        <v>1500</v>
      </c>
      <c r="J20">
        <v>1799</v>
      </c>
      <c r="K20" s="22">
        <v>45542</v>
      </c>
      <c r="L20" s="22">
        <v>45553</v>
      </c>
      <c r="M20" s="22">
        <v>45553</v>
      </c>
      <c r="N20">
        <v>11</v>
      </c>
      <c r="O20">
        <v>0</v>
      </c>
      <c r="P20" t="s">
        <v>88</v>
      </c>
      <c r="Q20" t="s">
        <v>89</v>
      </c>
      <c r="R20">
        <v>150000</v>
      </c>
      <c r="S20" t="s">
        <v>164</v>
      </c>
      <c r="T20">
        <v>200</v>
      </c>
      <c r="U20" s="29">
        <f>tbl_Tasks_Clean[[#This Row],[Actual_Cost]]-tbl_Tasks_Clean[[#This Row],[Planned_Cost]]</f>
        <v>299</v>
      </c>
      <c r="V20" s="30">
        <f>IFERROR(tbl_Tasks_Clean[[#This Row],[Cost_Variance]]/tbl_Tasks_Clean[[#This Row],[Planned_Cost]],0)</f>
        <v>0.19933333333333333</v>
      </c>
      <c r="W20" t="str">
        <f>IF(AND(tbl_Tasks_Clean[[#This Row],[Status]]="Completed",tbl_Tasks_Clean[[#This Row],[Delay_Days]]&lt;=0),"On Time",IF(AND(tbl_Tasks_Clean[[#This Row],[Status]]="Completed",tbl_Tasks_Clean[[#This Row],[Delay_Days]]&gt;0),"Late","N/A"))</f>
        <v>On Time</v>
      </c>
      <c r="X20" s="29" t="str" cm="1">
        <f t="array" ref="X20">_xlfn.IFS(tbl_Tasks_Clean[[#This Row],[Planned_Duration_Days]]&lt;=7,"Short (&lt;=7 days)",tbl_Tasks_Clean[[#This Row],[Planned_Duration_Days]]&lt;=20,"Medium (8-20 days)",TRUE,"Long (&gt;20 days)")</f>
        <v>Medium (8-20 days)</v>
      </c>
      <c r="Y20" s="29" t="str">
        <f>INDEX(Projects!$D:$D,MATCH(tbl_Tasks_Clean[[#This Row],[Project_ID]],Projects!$A:$A,0))</f>
        <v>Youssef Adel</v>
      </c>
      <c r="Z20" s="29" t="str">
        <f>IF(tbl_Tasks_Clean[[#This Row],[Delay_Days]]&gt;0,"Delayed by "&amp;TEXT(tbl_Tasks_Clean[[#This Row],[Delay_Days]],"0")&amp;" days",IF(tbl_Tasks_Clean[[#This Row],[Delay_Days]]&lt;0,"Early by "&amp;TEXT(-tbl_Tasks_Clean[[#This Row],[Delay_Days]],"0")&amp;" days","On schedule"))</f>
        <v>On schedule</v>
      </c>
    </row>
    <row r="21" spans="1:26" x14ac:dyDescent="0.3">
      <c r="A21" t="s">
        <v>254</v>
      </c>
      <c r="B21" t="s">
        <v>105</v>
      </c>
      <c r="C21" t="s">
        <v>106</v>
      </c>
      <c r="D21" t="s">
        <v>255</v>
      </c>
      <c r="E21" t="s">
        <v>177</v>
      </c>
      <c r="F21" t="s">
        <v>222</v>
      </c>
      <c r="G21" t="s">
        <v>281</v>
      </c>
      <c r="H21" t="s">
        <v>269</v>
      </c>
      <c r="I21">
        <v>4000</v>
      </c>
      <c r="J21">
        <v>4369</v>
      </c>
      <c r="K21" s="22">
        <v>45472</v>
      </c>
      <c r="L21" s="22">
        <v>45485</v>
      </c>
      <c r="M21" s="22">
        <v>45497</v>
      </c>
      <c r="N21">
        <v>13</v>
      </c>
      <c r="O21">
        <v>12</v>
      </c>
      <c r="P21" t="s">
        <v>107</v>
      </c>
      <c r="Q21" t="s">
        <v>84</v>
      </c>
      <c r="R21">
        <v>120000</v>
      </c>
      <c r="S21" t="s">
        <v>219</v>
      </c>
      <c r="T21">
        <v>250</v>
      </c>
      <c r="U21" s="29">
        <f>tbl_Tasks_Clean[[#This Row],[Actual_Cost]]-tbl_Tasks_Clean[[#This Row],[Planned_Cost]]</f>
        <v>369</v>
      </c>
      <c r="V21" s="30">
        <f>IFERROR(tbl_Tasks_Clean[[#This Row],[Cost_Variance]]/tbl_Tasks_Clean[[#This Row],[Planned_Cost]],0)</f>
        <v>9.2249999999999999E-2</v>
      </c>
      <c r="W21" t="str">
        <f>IF(AND(tbl_Tasks_Clean[[#This Row],[Status]]="Completed",tbl_Tasks_Clean[[#This Row],[Delay_Days]]&lt;=0),"On Time",IF(AND(tbl_Tasks_Clean[[#This Row],[Status]]="Completed",tbl_Tasks_Clean[[#This Row],[Delay_Days]]&gt;0),"Late","N/A"))</f>
        <v>N/A</v>
      </c>
      <c r="X21" s="29" t="str" cm="1">
        <f t="array" ref="X21">_xlfn.IFS(tbl_Tasks_Clean[[#This Row],[Planned_Duration_Days]]&lt;=7,"Short (&lt;=7 days)",tbl_Tasks_Clean[[#This Row],[Planned_Duration_Days]]&lt;=20,"Medium (8-20 days)",TRUE,"Long (&gt;20 days)")</f>
        <v>Medium (8-20 days)</v>
      </c>
      <c r="Y21" s="29" t="str">
        <f>INDEX(Projects!$D:$D,MATCH(tbl_Tasks_Clean[[#This Row],[Project_ID]],Projects!$A:$A,0))</f>
        <v>Mona Farid</v>
      </c>
      <c r="Z21" s="29" t="str">
        <f>IF(tbl_Tasks_Clean[[#This Row],[Delay_Days]]&gt;0,"Delayed by "&amp;TEXT(tbl_Tasks_Clean[[#This Row],[Delay_Days]],"0")&amp;" days",IF(tbl_Tasks_Clean[[#This Row],[Delay_Days]]&lt;0,"Early by "&amp;TEXT(-tbl_Tasks_Clean[[#This Row],[Delay_Days]],"0")&amp;" days","On schedule"))</f>
        <v>Delayed by 12 days</v>
      </c>
    </row>
    <row r="22" spans="1:26" x14ac:dyDescent="0.3">
      <c r="A22" t="s">
        <v>338</v>
      </c>
      <c r="B22" t="s">
        <v>101</v>
      </c>
      <c r="C22" t="s">
        <v>102</v>
      </c>
      <c r="D22" t="s">
        <v>339</v>
      </c>
      <c r="E22" t="s">
        <v>1435</v>
      </c>
      <c r="F22" t="s">
        <v>222</v>
      </c>
      <c r="G22" t="s">
        <v>281</v>
      </c>
      <c r="H22" t="s">
        <v>314</v>
      </c>
      <c r="I22">
        <v>5000</v>
      </c>
      <c r="J22">
        <v>4772</v>
      </c>
      <c r="K22" s="22"/>
      <c r="L22" s="22"/>
      <c r="M22" s="22"/>
      <c r="O22">
        <v>0</v>
      </c>
      <c r="P22" t="s">
        <v>103</v>
      </c>
      <c r="Q22" t="s">
        <v>94</v>
      </c>
      <c r="R22">
        <v>50000</v>
      </c>
      <c r="S22" t="s">
        <v>219</v>
      </c>
      <c r="T22">
        <v>250</v>
      </c>
      <c r="U22" s="29">
        <f>tbl_Tasks_Clean[[#This Row],[Actual_Cost]]-tbl_Tasks_Clean[[#This Row],[Planned_Cost]]</f>
        <v>-228</v>
      </c>
      <c r="V22" s="30">
        <f>IFERROR(tbl_Tasks_Clean[[#This Row],[Cost_Variance]]/tbl_Tasks_Clean[[#This Row],[Planned_Cost]],0)</f>
        <v>-4.5600000000000002E-2</v>
      </c>
      <c r="W22" t="str">
        <f>IF(AND(tbl_Tasks_Clean[[#This Row],[Status]]="Completed",tbl_Tasks_Clean[[#This Row],[Delay_Days]]&lt;=0),"On Time",IF(AND(tbl_Tasks_Clean[[#This Row],[Status]]="Completed",tbl_Tasks_Clean[[#This Row],[Delay_Days]]&gt;0),"Late","N/A"))</f>
        <v>On Time</v>
      </c>
      <c r="X22" s="29" t="str" cm="1">
        <f t="array" ref="X22">_xlfn.IFS(tbl_Tasks_Clean[[#This Row],[Planned_Duration_Days]]&lt;=7,"Short (&lt;=7 days)",tbl_Tasks_Clean[[#This Row],[Planned_Duration_Days]]&lt;=20,"Medium (8-20 days)",TRUE,"Long (&gt;20 days)")</f>
        <v>Short (&lt;=7 days)</v>
      </c>
      <c r="Y22" s="29" t="str">
        <f>INDEX(Projects!$D:$D,MATCH(tbl_Tasks_Clean[[#This Row],[Project_ID]],Projects!$A:$A,0))</f>
        <v>Ahmed Nabil</v>
      </c>
      <c r="Z22" s="29" t="str">
        <f>IF(tbl_Tasks_Clean[[#This Row],[Delay_Days]]&gt;0,"Delayed by "&amp;TEXT(tbl_Tasks_Clean[[#This Row],[Delay_Days]],"0")&amp;" days",IF(tbl_Tasks_Clean[[#This Row],[Delay_Days]]&lt;0,"Early by "&amp;TEXT(-tbl_Tasks_Clean[[#This Row],[Delay_Days]],"0")&amp;" days","On schedule"))</f>
        <v>On schedule</v>
      </c>
    </row>
    <row r="23" spans="1:26" x14ac:dyDescent="0.3">
      <c r="A23" t="s">
        <v>290</v>
      </c>
      <c r="B23" t="s">
        <v>101</v>
      </c>
      <c r="C23" t="s">
        <v>102</v>
      </c>
      <c r="D23" t="s">
        <v>291</v>
      </c>
      <c r="E23" t="s">
        <v>187</v>
      </c>
      <c r="F23" t="s">
        <v>172</v>
      </c>
      <c r="G23" t="s">
        <v>250</v>
      </c>
      <c r="H23" t="s">
        <v>314</v>
      </c>
      <c r="I23">
        <v>10000</v>
      </c>
      <c r="J23">
        <v>7969</v>
      </c>
      <c r="K23" s="22">
        <v>45341</v>
      </c>
      <c r="L23" s="22">
        <v>45370</v>
      </c>
      <c r="M23" s="22">
        <v>45368</v>
      </c>
      <c r="N23">
        <v>29</v>
      </c>
      <c r="O23">
        <v>-2</v>
      </c>
      <c r="P23" t="s">
        <v>103</v>
      </c>
      <c r="Q23" t="s">
        <v>94</v>
      </c>
      <c r="R23">
        <v>50000</v>
      </c>
      <c r="S23" t="s">
        <v>164</v>
      </c>
      <c r="T23">
        <v>200</v>
      </c>
      <c r="U23" s="29">
        <f>tbl_Tasks_Clean[[#This Row],[Actual_Cost]]-tbl_Tasks_Clean[[#This Row],[Planned_Cost]]</f>
        <v>-2031</v>
      </c>
      <c r="V23" s="30">
        <f>IFERROR(tbl_Tasks_Clean[[#This Row],[Cost_Variance]]/tbl_Tasks_Clean[[#This Row],[Planned_Cost]],0)</f>
        <v>-0.2031</v>
      </c>
      <c r="W23" t="str">
        <f>IF(AND(tbl_Tasks_Clean[[#This Row],[Status]]="Completed",tbl_Tasks_Clean[[#This Row],[Delay_Days]]&lt;=0),"On Time",IF(AND(tbl_Tasks_Clean[[#This Row],[Status]]="Completed",tbl_Tasks_Clean[[#This Row],[Delay_Days]]&gt;0),"Late","N/A"))</f>
        <v>On Time</v>
      </c>
      <c r="X23" s="29" t="str" cm="1">
        <f t="array" ref="X23">_xlfn.IFS(tbl_Tasks_Clean[[#This Row],[Planned_Duration_Days]]&lt;=7,"Short (&lt;=7 days)",tbl_Tasks_Clean[[#This Row],[Planned_Duration_Days]]&lt;=20,"Medium (8-20 days)",TRUE,"Long (&gt;20 days)")</f>
        <v>Long (&gt;20 days)</v>
      </c>
      <c r="Y23" s="29" t="str">
        <f>INDEX(Projects!$D:$D,MATCH(tbl_Tasks_Clean[[#This Row],[Project_ID]],Projects!$A:$A,0))</f>
        <v>Ahmed Nabil</v>
      </c>
      <c r="Z23" s="29" t="str">
        <f>IF(tbl_Tasks_Clean[[#This Row],[Delay_Days]]&gt;0,"Delayed by "&amp;TEXT(tbl_Tasks_Clean[[#This Row],[Delay_Days]],"0")&amp;" days",IF(tbl_Tasks_Clean[[#This Row],[Delay_Days]]&lt;0,"Early by "&amp;TEXT(-tbl_Tasks_Clean[[#This Row],[Delay_Days]],"0")&amp;" days","On schedule"))</f>
        <v>Early by 2 days</v>
      </c>
    </row>
    <row r="24" spans="1:26" x14ac:dyDescent="0.3">
      <c r="A24" t="s">
        <v>262</v>
      </c>
      <c r="B24" t="s">
        <v>140</v>
      </c>
      <c r="C24" t="s">
        <v>141</v>
      </c>
      <c r="D24" t="s">
        <v>263</v>
      </c>
      <c r="E24" t="s">
        <v>177</v>
      </c>
      <c r="F24" t="s">
        <v>193</v>
      </c>
      <c r="G24" t="s">
        <v>350</v>
      </c>
      <c r="H24" t="s">
        <v>287</v>
      </c>
      <c r="I24">
        <v>4000</v>
      </c>
      <c r="J24">
        <v>1678</v>
      </c>
      <c r="K24" s="22">
        <v>45508</v>
      </c>
      <c r="L24" s="22">
        <v>45530</v>
      </c>
      <c r="M24" s="22"/>
      <c r="N24">
        <v>22</v>
      </c>
      <c r="O24">
        <v>0</v>
      </c>
      <c r="P24" t="s">
        <v>111</v>
      </c>
      <c r="Q24" t="s">
        <v>116</v>
      </c>
      <c r="R24">
        <v>75000</v>
      </c>
      <c r="S24" t="s">
        <v>187</v>
      </c>
      <c r="T24">
        <v>300</v>
      </c>
      <c r="U24" s="29">
        <f>tbl_Tasks_Clean[[#This Row],[Actual_Cost]]-tbl_Tasks_Clean[[#This Row],[Planned_Cost]]</f>
        <v>-2322</v>
      </c>
      <c r="V24" s="30">
        <f>IFERROR(tbl_Tasks_Clean[[#This Row],[Cost_Variance]]/tbl_Tasks_Clean[[#This Row],[Planned_Cost]],0)</f>
        <v>-0.58050000000000002</v>
      </c>
      <c r="W24" t="str">
        <f>IF(AND(tbl_Tasks_Clean[[#This Row],[Status]]="Completed",tbl_Tasks_Clean[[#This Row],[Delay_Days]]&lt;=0),"On Time",IF(AND(tbl_Tasks_Clean[[#This Row],[Status]]="Completed",tbl_Tasks_Clean[[#This Row],[Delay_Days]]&gt;0),"Late","N/A"))</f>
        <v>N/A</v>
      </c>
      <c r="X24" s="29" t="str" cm="1">
        <f t="array" ref="X24">_xlfn.IFS(tbl_Tasks_Clean[[#This Row],[Planned_Duration_Days]]&lt;=7,"Short (&lt;=7 days)",tbl_Tasks_Clean[[#This Row],[Planned_Duration_Days]]&lt;=20,"Medium (8-20 days)",TRUE,"Long (&gt;20 days)")</f>
        <v>Long (&gt;20 days)</v>
      </c>
      <c r="Y24" s="29" t="str">
        <f>INDEX(Projects!$D:$D,MATCH(tbl_Tasks_Clean[[#This Row],[Project_ID]],Projects!$A:$A,0))</f>
        <v>Nourhan Tarek</v>
      </c>
      <c r="Z24" s="29" t="str">
        <f>IF(tbl_Tasks_Clean[[#This Row],[Delay_Days]]&gt;0,"Delayed by "&amp;TEXT(tbl_Tasks_Clean[[#This Row],[Delay_Days]],"0")&amp;" days",IF(tbl_Tasks_Clean[[#This Row],[Delay_Days]]&lt;0,"Early by "&amp;TEXT(-tbl_Tasks_Clean[[#This Row],[Delay_Days]],"0")&amp;" days","On schedule"))</f>
        <v>On schedule</v>
      </c>
    </row>
    <row r="25" spans="1:26" x14ac:dyDescent="0.3">
      <c r="A25" t="s">
        <v>273</v>
      </c>
      <c r="B25" t="s">
        <v>140</v>
      </c>
      <c r="C25" t="s">
        <v>141</v>
      </c>
      <c r="D25" t="s">
        <v>274</v>
      </c>
      <c r="E25" t="s">
        <v>177</v>
      </c>
      <c r="F25" t="s">
        <v>209</v>
      </c>
      <c r="G25" t="s">
        <v>281</v>
      </c>
      <c r="H25" t="s">
        <v>276</v>
      </c>
      <c r="I25">
        <v>10000</v>
      </c>
      <c r="J25">
        <v>0</v>
      </c>
      <c r="K25" s="22">
        <v>45438</v>
      </c>
      <c r="L25" s="22">
        <v>45459</v>
      </c>
      <c r="M25" s="22"/>
      <c r="N25">
        <v>21</v>
      </c>
      <c r="O25">
        <v>0</v>
      </c>
      <c r="P25" t="s">
        <v>111</v>
      </c>
      <c r="Q25" t="s">
        <v>116</v>
      </c>
      <c r="R25">
        <v>75000</v>
      </c>
      <c r="S25" t="s">
        <v>206</v>
      </c>
      <c r="T25">
        <v>250</v>
      </c>
      <c r="U25" s="29">
        <f>tbl_Tasks_Clean[[#This Row],[Actual_Cost]]-tbl_Tasks_Clean[[#This Row],[Planned_Cost]]</f>
        <v>-10000</v>
      </c>
      <c r="V25" s="30">
        <f>IFERROR(tbl_Tasks_Clean[[#This Row],[Cost_Variance]]/tbl_Tasks_Clean[[#This Row],[Planned_Cost]],0)</f>
        <v>-1</v>
      </c>
      <c r="W25" t="str">
        <f>IF(AND(tbl_Tasks_Clean[[#This Row],[Status]]="Completed",tbl_Tasks_Clean[[#This Row],[Delay_Days]]&lt;=0),"On Time",IF(AND(tbl_Tasks_Clean[[#This Row],[Status]]="Completed",tbl_Tasks_Clean[[#This Row],[Delay_Days]]&gt;0),"Late","N/A"))</f>
        <v>N/A</v>
      </c>
      <c r="X25" s="29" t="str" cm="1">
        <f t="array" ref="X25">_xlfn.IFS(tbl_Tasks_Clean[[#This Row],[Planned_Duration_Days]]&lt;=7,"Short (&lt;=7 days)",tbl_Tasks_Clean[[#This Row],[Planned_Duration_Days]]&lt;=20,"Medium (8-20 days)",TRUE,"Long (&gt;20 days)")</f>
        <v>Long (&gt;20 days)</v>
      </c>
      <c r="Y25" s="29" t="str">
        <f>INDEX(Projects!$D:$D,MATCH(tbl_Tasks_Clean[[#This Row],[Project_ID]],Projects!$A:$A,0))</f>
        <v>Nourhan Tarek</v>
      </c>
      <c r="Z25" s="29" t="str">
        <f>IF(tbl_Tasks_Clean[[#This Row],[Delay_Days]]&gt;0,"Delayed by "&amp;TEXT(tbl_Tasks_Clean[[#This Row],[Delay_Days]],"0")&amp;" days",IF(tbl_Tasks_Clean[[#This Row],[Delay_Days]]&lt;0,"Early by "&amp;TEXT(-tbl_Tasks_Clean[[#This Row],[Delay_Days]],"0")&amp;" days","On schedule"))</f>
        <v>On schedule</v>
      </c>
    </row>
    <row r="26" spans="1:26" x14ac:dyDescent="0.3">
      <c r="A26" t="s">
        <v>311</v>
      </c>
      <c r="B26" t="s">
        <v>118</v>
      </c>
      <c r="C26" t="s">
        <v>119</v>
      </c>
      <c r="D26" t="s">
        <v>312</v>
      </c>
      <c r="E26" t="s">
        <v>1435</v>
      </c>
      <c r="F26" t="s">
        <v>209</v>
      </c>
      <c r="G26" t="s">
        <v>250</v>
      </c>
      <c r="H26" t="s">
        <v>314</v>
      </c>
      <c r="I26">
        <v>1500</v>
      </c>
      <c r="J26">
        <v>1823</v>
      </c>
      <c r="K26" s="22"/>
      <c r="L26" s="22"/>
      <c r="M26" s="22"/>
      <c r="O26">
        <v>0</v>
      </c>
      <c r="P26" t="s">
        <v>120</v>
      </c>
      <c r="Q26" t="s">
        <v>99</v>
      </c>
      <c r="R26">
        <v>100000</v>
      </c>
      <c r="S26" t="s">
        <v>206</v>
      </c>
      <c r="T26">
        <v>250</v>
      </c>
      <c r="U26" s="29">
        <f>tbl_Tasks_Clean[[#This Row],[Actual_Cost]]-tbl_Tasks_Clean[[#This Row],[Planned_Cost]]</f>
        <v>323</v>
      </c>
      <c r="V26" s="30">
        <f>IFERROR(tbl_Tasks_Clean[[#This Row],[Cost_Variance]]/tbl_Tasks_Clean[[#This Row],[Planned_Cost]],0)</f>
        <v>0.21533333333333332</v>
      </c>
      <c r="W26" t="str">
        <f>IF(AND(tbl_Tasks_Clean[[#This Row],[Status]]="Completed",tbl_Tasks_Clean[[#This Row],[Delay_Days]]&lt;=0),"On Time",IF(AND(tbl_Tasks_Clean[[#This Row],[Status]]="Completed",tbl_Tasks_Clean[[#This Row],[Delay_Days]]&gt;0),"Late","N/A"))</f>
        <v>On Time</v>
      </c>
      <c r="X26" s="29" t="str" cm="1">
        <f t="array" ref="X26">_xlfn.IFS(tbl_Tasks_Clean[[#This Row],[Planned_Duration_Days]]&lt;=7,"Short (&lt;=7 days)",tbl_Tasks_Clean[[#This Row],[Planned_Duration_Days]]&lt;=20,"Medium (8-20 days)",TRUE,"Long (&gt;20 days)")</f>
        <v>Short (&lt;=7 days)</v>
      </c>
      <c r="Y26" s="29" t="str">
        <f>INDEX(Projects!$D:$D,MATCH(tbl_Tasks_Clean[[#This Row],[Project_ID]],Projects!$A:$A,0))</f>
        <v>Laila Samir</v>
      </c>
      <c r="Z26" s="29" t="str">
        <f>IF(tbl_Tasks_Clean[[#This Row],[Delay_Days]]&gt;0,"Delayed by "&amp;TEXT(tbl_Tasks_Clean[[#This Row],[Delay_Days]],"0")&amp;" days",IF(tbl_Tasks_Clean[[#This Row],[Delay_Days]]&lt;0,"Early by "&amp;TEXT(-tbl_Tasks_Clean[[#This Row],[Delay_Days]],"0")&amp;" days","On schedule"))</f>
        <v>On schedule</v>
      </c>
    </row>
    <row r="27" spans="1:26" x14ac:dyDescent="0.3">
      <c r="A27" t="s">
        <v>267</v>
      </c>
      <c r="B27" t="s">
        <v>113</v>
      </c>
      <c r="C27" t="s">
        <v>114</v>
      </c>
      <c r="D27" t="s">
        <v>268</v>
      </c>
      <c r="E27" t="s">
        <v>177</v>
      </c>
      <c r="F27" t="s">
        <v>212</v>
      </c>
      <c r="G27" t="s">
        <v>350</v>
      </c>
      <c r="H27" t="s">
        <v>269</v>
      </c>
      <c r="I27">
        <v>1000</v>
      </c>
      <c r="J27">
        <v>1347</v>
      </c>
      <c r="K27" s="22">
        <v>45493</v>
      </c>
      <c r="L27" s="22">
        <v>45511</v>
      </c>
      <c r="M27" s="22">
        <v>45516</v>
      </c>
      <c r="N27">
        <v>18</v>
      </c>
      <c r="O27">
        <v>5</v>
      </c>
      <c r="P27" t="s">
        <v>115</v>
      </c>
      <c r="Q27" t="s">
        <v>116</v>
      </c>
      <c r="R27">
        <v>300000</v>
      </c>
      <c r="S27" t="s">
        <v>206</v>
      </c>
      <c r="T27">
        <v>180</v>
      </c>
      <c r="U27" s="29">
        <f>tbl_Tasks_Clean[[#This Row],[Actual_Cost]]-tbl_Tasks_Clean[[#This Row],[Planned_Cost]]</f>
        <v>347</v>
      </c>
      <c r="V27" s="30">
        <f>IFERROR(tbl_Tasks_Clean[[#This Row],[Cost_Variance]]/tbl_Tasks_Clean[[#This Row],[Planned_Cost]],0)</f>
        <v>0.34699999999999998</v>
      </c>
      <c r="W27" t="str">
        <f>IF(AND(tbl_Tasks_Clean[[#This Row],[Status]]="Completed",tbl_Tasks_Clean[[#This Row],[Delay_Days]]&lt;=0),"On Time",IF(AND(tbl_Tasks_Clean[[#This Row],[Status]]="Completed",tbl_Tasks_Clean[[#This Row],[Delay_Days]]&gt;0),"Late","N/A"))</f>
        <v>N/A</v>
      </c>
      <c r="X27" s="29" t="str" cm="1">
        <f t="array" ref="X27">_xlfn.IFS(tbl_Tasks_Clean[[#This Row],[Planned_Duration_Days]]&lt;=7,"Short (&lt;=7 days)",tbl_Tasks_Clean[[#This Row],[Planned_Duration_Days]]&lt;=20,"Medium (8-20 days)",TRUE,"Long (&gt;20 days)")</f>
        <v>Medium (8-20 days)</v>
      </c>
      <c r="Y27" s="29" t="str">
        <f>INDEX(Projects!$D:$D,MATCH(tbl_Tasks_Clean[[#This Row],[Project_ID]],Projects!$A:$A,0))</f>
        <v>Nourhan Tarek</v>
      </c>
      <c r="Z27" s="29" t="str">
        <f>IF(tbl_Tasks_Clean[[#This Row],[Delay_Days]]&gt;0,"Delayed by "&amp;TEXT(tbl_Tasks_Clean[[#This Row],[Delay_Days]],"0")&amp;" days",IF(tbl_Tasks_Clean[[#This Row],[Delay_Days]]&lt;0,"Early by "&amp;TEXT(-tbl_Tasks_Clean[[#This Row],[Delay_Days]],"0")&amp;" days","On schedule"))</f>
        <v>Delayed by 5 days</v>
      </c>
    </row>
    <row r="28" spans="1:26" x14ac:dyDescent="0.3">
      <c r="A28" t="s">
        <v>380</v>
      </c>
      <c r="B28" t="s">
        <v>113</v>
      </c>
      <c r="C28" t="s">
        <v>114</v>
      </c>
      <c r="D28" t="s">
        <v>381</v>
      </c>
      <c r="E28" t="s">
        <v>1435</v>
      </c>
      <c r="F28" t="s">
        <v>214</v>
      </c>
      <c r="G28" t="s">
        <v>281</v>
      </c>
      <c r="H28" t="s">
        <v>276</v>
      </c>
      <c r="I28">
        <v>1000</v>
      </c>
      <c r="J28">
        <v>0</v>
      </c>
      <c r="K28" s="22"/>
      <c r="L28" s="22"/>
      <c r="M28" s="22"/>
      <c r="O28">
        <v>0</v>
      </c>
      <c r="P28" t="s">
        <v>115</v>
      </c>
      <c r="Q28" t="s">
        <v>116</v>
      </c>
      <c r="R28">
        <v>300000</v>
      </c>
      <c r="S28" t="s">
        <v>206</v>
      </c>
      <c r="T28">
        <v>180</v>
      </c>
      <c r="U28" s="29">
        <f>tbl_Tasks_Clean[[#This Row],[Actual_Cost]]-tbl_Tasks_Clean[[#This Row],[Planned_Cost]]</f>
        <v>-1000</v>
      </c>
      <c r="V28" s="30">
        <f>IFERROR(tbl_Tasks_Clean[[#This Row],[Cost_Variance]]/tbl_Tasks_Clean[[#This Row],[Planned_Cost]],0)</f>
        <v>-1</v>
      </c>
      <c r="W28" t="str">
        <f>IF(AND(tbl_Tasks_Clean[[#This Row],[Status]]="Completed",tbl_Tasks_Clean[[#This Row],[Delay_Days]]&lt;=0),"On Time",IF(AND(tbl_Tasks_Clean[[#This Row],[Status]]="Completed",tbl_Tasks_Clean[[#This Row],[Delay_Days]]&gt;0),"Late","N/A"))</f>
        <v>N/A</v>
      </c>
      <c r="X28" s="29" t="str" cm="1">
        <f t="array" ref="X28">_xlfn.IFS(tbl_Tasks_Clean[[#This Row],[Planned_Duration_Days]]&lt;=7,"Short (&lt;=7 days)",tbl_Tasks_Clean[[#This Row],[Planned_Duration_Days]]&lt;=20,"Medium (8-20 days)",TRUE,"Long (&gt;20 days)")</f>
        <v>Short (&lt;=7 days)</v>
      </c>
      <c r="Y28" s="29" t="str">
        <f>INDEX(Projects!$D:$D,MATCH(tbl_Tasks_Clean[[#This Row],[Project_ID]],Projects!$A:$A,0))</f>
        <v>Nourhan Tarek</v>
      </c>
      <c r="Z28" s="29" t="str">
        <f>IF(tbl_Tasks_Clean[[#This Row],[Delay_Days]]&gt;0,"Delayed by "&amp;TEXT(tbl_Tasks_Clean[[#This Row],[Delay_Days]],"0")&amp;" days",IF(tbl_Tasks_Clean[[#This Row],[Delay_Days]]&lt;0,"Early by "&amp;TEXT(-tbl_Tasks_Clean[[#This Row],[Delay_Days]],"0")&amp;" days","On schedule"))</f>
        <v>On schedule</v>
      </c>
    </row>
    <row r="29" spans="1:26" x14ac:dyDescent="0.3">
      <c r="A29" t="s">
        <v>384</v>
      </c>
      <c r="B29" t="s">
        <v>122</v>
      </c>
      <c r="C29" t="s">
        <v>123</v>
      </c>
      <c r="D29" t="s">
        <v>385</v>
      </c>
      <c r="E29" t="s">
        <v>150</v>
      </c>
      <c r="F29" t="s">
        <v>1439</v>
      </c>
      <c r="G29" t="s">
        <v>350</v>
      </c>
      <c r="H29" t="s">
        <v>314</v>
      </c>
      <c r="I29">
        <v>8000</v>
      </c>
      <c r="J29">
        <v>5874</v>
      </c>
      <c r="K29" s="22">
        <v>45442</v>
      </c>
      <c r="L29" s="22">
        <v>45456</v>
      </c>
      <c r="M29" s="22">
        <v>45456</v>
      </c>
      <c r="N29">
        <v>14</v>
      </c>
      <c r="O29">
        <v>0</v>
      </c>
      <c r="P29" t="s">
        <v>111</v>
      </c>
      <c r="Q29" t="s">
        <v>124</v>
      </c>
      <c r="R29">
        <v>150000</v>
      </c>
      <c r="U29" s="29">
        <f>tbl_Tasks_Clean[[#This Row],[Actual_Cost]]-tbl_Tasks_Clean[[#This Row],[Planned_Cost]]</f>
        <v>-2126</v>
      </c>
      <c r="V29" s="30">
        <f>IFERROR(tbl_Tasks_Clean[[#This Row],[Cost_Variance]]/tbl_Tasks_Clean[[#This Row],[Planned_Cost]],0)</f>
        <v>-0.26574999999999999</v>
      </c>
      <c r="W29" t="str">
        <f>IF(AND(tbl_Tasks_Clean[[#This Row],[Status]]="Completed",tbl_Tasks_Clean[[#This Row],[Delay_Days]]&lt;=0),"On Time",IF(AND(tbl_Tasks_Clean[[#This Row],[Status]]="Completed",tbl_Tasks_Clean[[#This Row],[Delay_Days]]&gt;0),"Late","N/A"))</f>
        <v>On Time</v>
      </c>
      <c r="X29" s="29" t="str" cm="1">
        <f t="array" ref="X29">_xlfn.IFS(tbl_Tasks_Clean[[#This Row],[Planned_Duration_Days]]&lt;=7,"Short (&lt;=7 days)",tbl_Tasks_Clean[[#This Row],[Planned_Duration_Days]]&lt;=20,"Medium (8-20 days)",TRUE,"Long (&gt;20 days)")</f>
        <v>Medium (8-20 days)</v>
      </c>
      <c r="Y29" s="29" t="str">
        <f>INDEX(Projects!$D:$D,MATCH(tbl_Tasks_Clean[[#This Row],[Project_ID]],Projects!$A:$A,0))</f>
        <v>Sara Hassan</v>
      </c>
      <c r="Z29" s="29" t="str">
        <f>IF(tbl_Tasks_Clean[[#This Row],[Delay_Days]]&gt;0,"Delayed by "&amp;TEXT(tbl_Tasks_Clean[[#This Row],[Delay_Days]],"0")&amp;" days",IF(tbl_Tasks_Clean[[#This Row],[Delay_Days]]&lt;0,"Early by "&amp;TEXT(-tbl_Tasks_Clean[[#This Row],[Delay_Days]],"0")&amp;" days","On schedule"))</f>
        <v>On schedule</v>
      </c>
    </row>
    <row r="30" spans="1:26" x14ac:dyDescent="0.3">
      <c r="A30" t="s">
        <v>393</v>
      </c>
      <c r="B30" t="s">
        <v>105</v>
      </c>
      <c r="C30" t="s">
        <v>106</v>
      </c>
      <c r="D30" t="s">
        <v>394</v>
      </c>
      <c r="E30" t="s">
        <v>1435</v>
      </c>
      <c r="F30" t="s">
        <v>183</v>
      </c>
      <c r="G30" t="s">
        <v>281</v>
      </c>
      <c r="H30" t="s">
        <v>356</v>
      </c>
      <c r="I30">
        <v>10000</v>
      </c>
      <c r="J30">
        <v>12422</v>
      </c>
      <c r="K30" s="22"/>
      <c r="L30" s="22"/>
      <c r="M30" s="22"/>
      <c r="O30">
        <v>0</v>
      </c>
      <c r="P30" t="s">
        <v>107</v>
      </c>
      <c r="Q30" t="s">
        <v>84</v>
      </c>
      <c r="R30">
        <v>120000</v>
      </c>
      <c r="S30" t="s">
        <v>177</v>
      </c>
      <c r="T30">
        <v>220</v>
      </c>
      <c r="U30" s="29">
        <f>tbl_Tasks_Clean[[#This Row],[Actual_Cost]]-tbl_Tasks_Clean[[#This Row],[Planned_Cost]]</f>
        <v>2422</v>
      </c>
      <c r="V30" s="30">
        <f>IFERROR(tbl_Tasks_Clean[[#This Row],[Cost_Variance]]/tbl_Tasks_Clean[[#This Row],[Planned_Cost]],0)</f>
        <v>0.2422</v>
      </c>
      <c r="W30" t="str">
        <f>IF(AND(tbl_Tasks_Clean[[#This Row],[Status]]="Completed",tbl_Tasks_Clean[[#This Row],[Delay_Days]]&lt;=0),"On Time",IF(AND(tbl_Tasks_Clean[[#This Row],[Status]]="Completed",tbl_Tasks_Clean[[#This Row],[Delay_Days]]&gt;0),"Late","N/A"))</f>
        <v>N/A</v>
      </c>
      <c r="X30" s="29" t="str" cm="1">
        <f t="array" ref="X30">_xlfn.IFS(tbl_Tasks_Clean[[#This Row],[Planned_Duration_Days]]&lt;=7,"Short (&lt;=7 days)",tbl_Tasks_Clean[[#This Row],[Planned_Duration_Days]]&lt;=20,"Medium (8-20 days)",TRUE,"Long (&gt;20 days)")</f>
        <v>Short (&lt;=7 days)</v>
      </c>
      <c r="Y30" s="29" t="str">
        <f>INDEX(Projects!$D:$D,MATCH(tbl_Tasks_Clean[[#This Row],[Project_ID]],Projects!$A:$A,0))</f>
        <v>Mona Farid</v>
      </c>
      <c r="Z30" s="29" t="str">
        <f>IF(tbl_Tasks_Clean[[#This Row],[Delay_Days]]&gt;0,"Delayed by "&amp;TEXT(tbl_Tasks_Clean[[#This Row],[Delay_Days]],"0")&amp;" days",IF(tbl_Tasks_Clean[[#This Row],[Delay_Days]]&lt;0,"Early by "&amp;TEXT(-tbl_Tasks_Clean[[#This Row],[Delay_Days]],"0")&amp;" days","On schedule"))</f>
        <v>On schedule</v>
      </c>
    </row>
    <row r="31" spans="1:26" x14ac:dyDescent="0.3">
      <c r="A31" t="s">
        <v>399</v>
      </c>
      <c r="B31" t="s">
        <v>140</v>
      </c>
      <c r="C31" t="s">
        <v>141</v>
      </c>
      <c r="D31" t="s">
        <v>400</v>
      </c>
      <c r="E31" t="s">
        <v>187</v>
      </c>
      <c r="F31" t="s">
        <v>176</v>
      </c>
      <c r="G31" t="s">
        <v>250</v>
      </c>
      <c r="H31" t="s">
        <v>269</v>
      </c>
      <c r="I31">
        <v>2000</v>
      </c>
      <c r="J31">
        <v>2297</v>
      </c>
      <c r="K31" s="22">
        <v>45506</v>
      </c>
      <c r="L31" s="22">
        <v>45529</v>
      </c>
      <c r="M31" s="22">
        <v>45530</v>
      </c>
      <c r="N31">
        <v>23</v>
      </c>
      <c r="O31">
        <v>1</v>
      </c>
      <c r="P31" t="s">
        <v>111</v>
      </c>
      <c r="Q31" t="s">
        <v>116</v>
      </c>
      <c r="R31">
        <v>75000</v>
      </c>
      <c r="S31" t="s">
        <v>177</v>
      </c>
      <c r="T31">
        <v>250</v>
      </c>
      <c r="U31" s="29">
        <f>tbl_Tasks_Clean[[#This Row],[Actual_Cost]]-tbl_Tasks_Clean[[#This Row],[Planned_Cost]]</f>
        <v>297</v>
      </c>
      <c r="V31" s="30">
        <f>IFERROR(tbl_Tasks_Clean[[#This Row],[Cost_Variance]]/tbl_Tasks_Clean[[#This Row],[Planned_Cost]],0)</f>
        <v>0.14849999999999999</v>
      </c>
      <c r="W31" t="str">
        <f>IF(AND(tbl_Tasks_Clean[[#This Row],[Status]]="Completed",tbl_Tasks_Clean[[#This Row],[Delay_Days]]&lt;=0),"On Time",IF(AND(tbl_Tasks_Clean[[#This Row],[Status]]="Completed",tbl_Tasks_Clean[[#This Row],[Delay_Days]]&gt;0),"Late","N/A"))</f>
        <v>N/A</v>
      </c>
      <c r="X31" s="29" t="str" cm="1">
        <f t="array" ref="X31">_xlfn.IFS(tbl_Tasks_Clean[[#This Row],[Planned_Duration_Days]]&lt;=7,"Short (&lt;=7 days)",tbl_Tasks_Clean[[#This Row],[Planned_Duration_Days]]&lt;=20,"Medium (8-20 days)",TRUE,"Long (&gt;20 days)")</f>
        <v>Long (&gt;20 days)</v>
      </c>
      <c r="Y31" s="29" t="str">
        <f>INDEX(Projects!$D:$D,MATCH(tbl_Tasks_Clean[[#This Row],[Project_ID]],Projects!$A:$A,0))</f>
        <v>Nourhan Tarek</v>
      </c>
      <c r="Z31" s="29" t="str">
        <f>IF(tbl_Tasks_Clean[[#This Row],[Delay_Days]]&gt;0,"Delayed by "&amp;TEXT(tbl_Tasks_Clean[[#This Row],[Delay_Days]],"0")&amp;" days",IF(tbl_Tasks_Clean[[#This Row],[Delay_Days]]&lt;0,"Early by "&amp;TEXT(-tbl_Tasks_Clean[[#This Row],[Delay_Days]],"0")&amp;" days","On schedule"))</f>
        <v>Delayed by 1 days</v>
      </c>
    </row>
    <row r="32" spans="1:26" x14ac:dyDescent="0.3">
      <c r="A32" t="s">
        <v>403</v>
      </c>
      <c r="B32" t="s">
        <v>91</v>
      </c>
      <c r="C32" t="s">
        <v>92</v>
      </c>
      <c r="D32" t="s">
        <v>404</v>
      </c>
      <c r="E32" t="s">
        <v>150</v>
      </c>
      <c r="F32" t="s">
        <v>224</v>
      </c>
      <c r="G32" t="s">
        <v>281</v>
      </c>
      <c r="H32" t="s">
        <v>314</v>
      </c>
      <c r="I32">
        <v>1500</v>
      </c>
      <c r="J32">
        <v>1286</v>
      </c>
      <c r="K32" s="22">
        <v>45352</v>
      </c>
      <c r="L32" s="22">
        <v>45372</v>
      </c>
      <c r="M32" s="22">
        <v>45372</v>
      </c>
      <c r="N32">
        <v>20</v>
      </c>
      <c r="O32">
        <v>0</v>
      </c>
      <c r="P32" t="s">
        <v>93</v>
      </c>
      <c r="Q32" t="s">
        <v>94</v>
      </c>
      <c r="R32">
        <v>100000</v>
      </c>
      <c r="S32" t="s">
        <v>219</v>
      </c>
      <c r="T32">
        <v>200</v>
      </c>
      <c r="U32" s="29">
        <f>tbl_Tasks_Clean[[#This Row],[Actual_Cost]]-tbl_Tasks_Clean[[#This Row],[Planned_Cost]]</f>
        <v>-214</v>
      </c>
      <c r="V32" s="30">
        <f>IFERROR(tbl_Tasks_Clean[[#This Row],[Cost_Variance]]/tbl_Tasks_Clean[[#This Row],[Planned_Cost]],0)</f>
        <v>-0.14266666666666666</v>
      </c>
      <c r="W32" t="str">
        <f>IF(AND(tbl_Tasks_Clean[[#This Row],[Status]]="Completed",tbl_Tasks_Clean[[#This Row],[Delay_Days]]&lt;=0),"On Time",IF(AND(tbl_Tasks_Clean[[#This Row],[Status]]="Completed",tbl_Tasks_Clean[[#This Row],[Delay_Days]]&gt;0),"Late","N/A"))</f>
        <v>On Time</v>
      </c>
      <c r="X32" s="29" t="str" cm="1">
        <f t="array" ref="X32">_xlfn.IFS(tbl_Tasks_Clean[[#This Row],[Planned_Duration_Days]]&lt;=7,"Short (&lt;=7 days)",tbl_Tasks_Clean[[#This Row],[Planned_Duration_Days]]&lt;=20,"Medium (8-20 days)",TRUE,"Long (&gt;20 days)")</f>
        <v>Medium (8-20 days)</v>
      </c>
      <c r="Y32" s="29" t="str">
        <f>INDEX(Projects!$D:$D,MATCH(tbl_Tasks_Clean[[#This Row],[Project_ID]],Projects!$A:$A,0))</f>
        <v>Ahmed Nabil</v>
      </c>
      <c r="Z32" s="29" t="str">
        <f>IF(tbl_Tasks_Clean[[#This Row],[Delay_Days]]&gt;0,"Delayed by "&amp;TEXT(tbl_Tasks_Clean[[#This Row],[Delay_Days]],"0")&amp;" days",IF(tbl_Tasks_Clean[[#This Row],[Delay_Days]]&lt;0,"Early by "&amp;TEXT(-tbl_Tasks_Clean[[#This Row],[Delay_Days]],"0")&amp;" days","On schedule"))</f>
        <v>On schedule</v>
      </c>
    </row>
    <row r="33" spans="1:26" x14ac:dyDescent="0.3">
      <c r="A33" t="s">
        <v>408</v>
      </c>
      <c r="B33" t="s">
        <v>91</v>
      </c>
      <c r="C33" t="s">
        <v>92</v>
      </c>
      <c r="D33" t="s">
        <v>409</v>
      </c>
      <c r="E33" t="s">
        <v>197</v>
      </c>
      <c r="F33" t="s">
        <v>216</v>
      </c>
      <c r="G33" t="s">
        <v>350</v>
      </c>
      <c r="H33" t="s">
        <v>314</v>
      </c>
      <c r="I33">
        <v>5000</v>
      </c>
      <c r="J33">
        <v>3653</v>
      </c>
      <c r="K33" s="22">
        <v>45495</v>
      </c>
      <c r="L33" s="22">
        <v>45510</v>
      </c>
      <c r="M33" s="22">
        <v>45508</v>
      </c>
      <c r="N33">
        <v>15</v>
      </c>
      <c r="O33">
        <v>-2</v>
      </c>
      <c r="P33" t="s">
        <v>93</v>
      </c>
      <c r="Q33" t="s">
        <v>94</v>
      </c>
      <c r="R33">
        <v>100000</v>
      </c>
      <c r="S33" t="s">
        <v>206</v>
      </c>
      <c r="T33">
        <v>200</v>
      </c>
      <c r="U33" s="29">
        <f>tbl_Tasks_Clean[[#This Row],[Actual_Cost]]-tbl_Tasks_Clean[[#This Row],[Planned_Cost]]</f>
        <v>-1347</v>
      </c>
      <c r="V33" s="30">
        <f>IFERROR(tbl_Tasks_Clean[[#This Row],[Cost_Variance]]/tbl_Tasks_Clean[[#This Row],[Planned_Cost]],0)</f>
        <v>-0.26939999999999997</v>
      </c>
      <c r="W33" t="str">
        <f>IF(AND(tbl_Tasks_Clean[[#This Row],[Status]]="Completed",tbl_Tasks_Clean[[#This Row],[Delay_Days]]&lt;=0),"On Time",IF(AND(tbl_Tasks_Clean[[#This Row],[Status]]="Completed",tbl_Tasks_Clean[[#This Row],[Delay_Days]]&gt;0),"Late","N/A"))</f>
        <v>On Time</v>
      </c>
      <c r="X33" s="29" t="str" cm="1">
        <f t="array" ref="X33">_xlfn.IFS(tbl_Tasks_Clean[[#This Row],[Planned_Duration_Days]]&lt;=7,"Short (&lt;=7 days)",tbl_Tasks_Clean[[#This Row],[Planned_Duration_Days]]&lt;=20,"Medium (8-20 days)",TRUE,"Long (&gt;20 days)")</f>
        <v>Medium (8-20 days)</v>
      </c>
      <c r="Y33" s="29" t="str">
        <f>INDEX(Projects!$D:$D,MATCH(tbl_Tasks_Clean[[#This Row],[Project_ID]],Projects!$A:$A,0))</f>
        <v>Ahmed Nabil</v>
      </c>
      <c r="Z33" s="29" t="str">
        <f>IF(tbl_Tasks_Clean[[#This Row],[Delay_Days]]&gt;0,"Delayed by "&amp;TEXT(tbl_Tasks_Clean[[#This Row],[Delay_Days]],"0")&amp;" days",IF(tbl_Tasks_Clean[[#This Row],[Delay_Days]]&lt;0,"Early by "&amp;TEXT(-tbl_Tasks_Clean[[#This Row],[Delay_Days]],"0")&amp;" days","On schedule"))</f>
        <v>Early by 2 days</v>
      </c>
    </row>
    <row r="34" spans="1:26" x14ac:dyDescent="0.3">
      <c r="A34" t="s">
        <v>413</v>
      </c>
      <c r="B34" t="s">
        <v>96</v>
      </c>
      <c r="C34" t="s">
        <v>97</v>
      </c>
      <c r="D34" t="s">
        <v>414</v>
      </c>
      <c r="E34" t="s">
        <v>150</v>
      </c>
      <c r="F34" t="s">
        <v>183</v>
      </c>
      <c r="G34" t="s">
        <v>350</v>
      </c>
      <c r="H34" t="s">
        <v>356</v>
      </c>
      <c r="I34">
        <v>1000</v>
      </c>
      <c r="J34">
        <v>1399</v>
      </c>
      <c r="K34" s="22">
        <v>45582</v>
      </c>
      <c r="L34" s="22">
        <v>45605</v>
      </c>
      <c r="M34" s="22">
        <v>45602</v>
      </c>
      <c r="N34">
        <v>23</v>
      </c>
      <c r="O34">
        <v>-3</v>
      </c>
      <c r="P34" t="s">
        <v>98</v>
      </c>
      <c r="Q34" t="s">
        <v>99</v>
      </c>
      <c r="R34">
        <v>75000</v>
      </c>
      <c r="S34" t="s">
        <v>177</v>
      </c>
      <c r="T34">
        <v>220</v>
      </c>
      <c r="U34" s="29">
        <f>tbl_Tasks_Clean[[#This Row],[Actual_Cost]]-tbl_Tasks_Clean[[#This Row],[Planned_Cost]]</f>
        <v>399</v>
      </c>
      <c r="V34" s="30">
        <f>IFERROR(tbl_Tasks_Clean[[#This Row],[Cost_Variance]]/tbl_Tasks_Clean[[#This Row],[Planned_Cost]],0)</f>
        <v>0.39900000000000002</v>
      </c>
      <c r="W34" t="str">
        <f>IF(AND(tbl_Tasks_Clean[[#This Row],[Status]]="Completed",tbl_Tasks_Clean[[#This Row],[Delay_Days]]&lt;=0),"On Time",IF(AND(tbl_Tasks_Clean[[#This Row],[Status]]="Completed",tbl_Tasks_Clean[[#This Row],[Delay_Days]]&gt;0),"Late","N/A"))</f>
        <v>N/A</v>
      </c>
      <c r="X34" s="29" t="str" cm="1">
        <f t="array" ref="X34">_xlfn.IFS(tbl_Tasks_Clean[[#This Row],[Planned_Duration_Days]]&lt;=7,"Short (&lt;=7 days)",tbl_Tasks_Clean[[#This Row],[Planned_Duration_Days]]&lt;=20,"Medium (8-20 days)",TRUE,"Long (&gt;20 days)")</f>
        <v>Long (&gt;20 days)</v>
      </c>
      <c r="Y34" s="29" t="str">
        <f>INDEX(Projects!$D:$D,MATCH(tbl_Tasks_Clean[[#This Row],[Project_ID]],Projects!$A:$A,0))</f>
        <v>Laila Samir</v>
      </c>
      <c r="Z34" s="29" t="str">
        <f>IF(tbl_Tasks_Clean[[#This Row],[Delay_Days]]&gt;0,"Delayed by "&amp;TEXT(tbl_Tasks_Clean[[#This Row],[Delay_Days]],"0")&amp;" days",IF(tbl_Tasks_Clean[[#This Row],[Delay_Days]]&lt;0,"Early by "&amp;TEXT(-tbl_Tasks_Clean[[#This Row],[Delay_Days]],"0")&amp;" days","On schedule"))</f>
        <v>Early by 3 days</v>
      </c>
    </row>
    <row r="35" spans="1:26" x14ac:dyDescent="0.3">
      <c r="A35" t="s">
        <v>418</v>
      </c>
      <c r="B35" t="s">
        <v>140</v>
      </c>
      <c r="C35" t="s">
        <v>141</v>
      </c>
      <c r="D35" t="s">
        <v>1332</v>
      </c>
      <c r="E35" t="s">
        <v>150</v>
      </c>
      <c r="F35" t="s">
        <v>190</v>
      </c>
      <c r="G35" t="s">
        <v>350</v>
      </c>
      <c r="H35" t="s">
        <v>287</v>
      </c>
      <c r="I35">
        <v>2500</v>
      </c>
      <c r="J35">
        <v>1606</v>
      </c>
      <c r="K35" s="22"/>
      <c r="L35" s="22"/>
      <c r="M35" s="22"/>
      <c r="O35">
        <v>0</v>
      </c>
      <c r="P35" t="s">
        <v>111</v>
      </c>
      <c r="Q35" t="s">
        <v>116</v>
      </c>
      <c r="R35">
        <v>75000</v>
      </c>
      <c r="S35" t="s">
        <v>187</v>
      </c>
      <c r="T35">
        <v>280</v>
      </c>
      <c r="U35" s="29">
        <f>tbl_Tasks_Clean[[#This Row],[Actual_Cost]]-tbl_Tasks_Clean[[#This Row],[Planned_Cost]]</f>
        <v>-894</v>
      </c>
      <c r="V35" s="30">
        <f>IFERROR(tbl_Tasks_Clean[[#This Row],[Cost_Variance]]/tbl_Tasks_Clean[[#This Row],[Planned_Cost]],0)</f>
        <v>-0.35759999999999997</v>
      </c>
      <c r="W35" t="str">
        <f>IF(AND(tbl_Tasks_Clean[[#This Row],[Status]]="Completed",tbl_Tasks_Clean[[#This Row],[Delay_Days]]&lt;=0),"On Time",IF(AND(tbl_Tasks_Clean[[#This Row],[Status]]="Completed",tbl_Tasks_Clean[[#This Row],[Delay_Days]]&gt;0),"Late","N/A"))</f>
        <v>N/A</v>
      </c>
      <c r="X35" s="29" t="str" cm="1">
        <f t="array" ref="X35">_xlfn.IFS(tbl_Tasks_Clean[[#This Row],[Planned_Duration_Days]]&lt;=7,"Short (&lt;=7 days)",tbl_Tasks_Clean[[#This Row],[Planned_Duration_Days]]&lt;=20,"Medium (8-20 days)",TRUE,"Long (&gt;20 days)")</f>
        <v>Short (&lt;=7 days)</v>
      </c>
      <c r="Y35" s="29" t="str">
        <f>INDEX(Projects!$D:$D,MATCH(tbl_Tasks_Clean[[#This Row],[Project_ID]],Projects!$A:$A,0))</f>
        <v>Nourhan Tarek</v>
      </c>
      <c r="Z35" s="29" t="str">
        <f>IF(tbl_Tasks_Clean[[#This Row],[Delay_Days]]&gt;0,"Delayed by "&amp;TEXT(tbl_Tasks_Clean[[#This Row],[Delay_Days]],"0")&amp;" days",IF(tbl_Tasks_Clean[[#This Row],[Delay_Days]]&lt;0,"Early by "&amp;TEXT(-tbl_Tasks_Clean[[#This Row],[Delay_Days]],"0")&amp;" days","On schedule"))</f>
        <v>On schedule</v>
      </c>
    </row>
    <row r="36" spans="1:26" x14ac:dyDescent="0.3">
      <c r="A36" t="s">
        <v>422</v>
      </c>
      <c r="B36" t="s">
        <v>81</v>
      </c>
      <c r="C36" t="s">
        <v>82</v>
      </c>
      <c r="D36" t="s">
        <v>423</v>
      </c>
      <c r="E36" t="s">
        <v>197</v>
      </c>
      <c r="F36" t="s">
        <v>180</v>
      </c>
      <c r="G36" t="s">
        <v>281</v>
      </c>
      <c r="H36" t="s">
        <v>269</v>
      </c>
      <c r="I36">
        <v>1500</v>
      </c>
      <c r="J36">
        <v>1676</v>
      </c>
      <c r="K36" s="22">
        <v>45603</v>
      </c>
      <c r="L36" s="22">
        <v>45614</v>
      </c>
      <c r="M36" s="22">
        <v>45612</v>
      </c>
      <c r="N36">
        <v>11</v>
      </c>
      <c r="O36">
        <v>-2</v>
      </c>
      <c r="P36" t="s">
        <v>83</v>
      </c>
      <c r="Q36" t="s">
        <v>84</v>
      </c>
      <c r="R36">
        <v>75000</v>
      </c>
      <c r="S36" t="s">
        <v>177</v>
      </c>
      <c r="T36">
        <v>280</v>
      </c>
      <c r="U36" s="29">
        <f>tbl_Tasks_Clean[[#This Row],[Actual_Cost]]-tbl_Tasks_Clean[[#This Row],[Planned_Cost]]</f>
        <v>176</v>
      </c>
      <c r="V36" s="30">
        <f>IFERROR(tbl_Tasks_Clean[[#This Row],[Cost_Variance]]/tbl_Tasks_Clean[[#This Row],[Planned_Cost]],0)</f>
        <v>0.11733333333333333</v>
      </c>
      <c r="W36" t="str">
        <f>IF(AND(tbl_Tasks_Clean[[#This Row],[Status]]="Completed",tbl_Tasks_Clean[[#This Row],[Delay_Days]]&lt;=0),"On Time",IF(AND(tbl_Tasks_Clean[[#This Row],[Status]]="Completed",tbl_Tasks_Clean[[#This Row],[Delay_Days]]&gt;0),"Late","N/A"))</f>
        <v>N/A</v>
      </c>
      <c r="X36" s="29" t="str" cm="1">
        <f t="array" ref="X36">_xlfn.IFS(tbl_Tasks_Clean[[#This Row],[Planned_Duration_Days]]&lt;=7,"Short (&lt;=7 days)",tbl_Tasks_Clean[[#This Row],[Planned_Duration_Days]]&lt;=20,"Medium (8-20 days)",TRUE,"Long (&gt;20 days)")</f>
        <v>Medium (8-20 days)</v>
      </c>
      <c r="Y36" s="29" t="str">
        <f>INDEX(Projects!$D:$D,MATCH(tbl_Tasks_Clean[[#This Row],[Project_ID]],Projects!$A:$A,0))</f>
        <v>Mona Farid</v>
      </c>
      <c r="Z36" s="29" t="str">
        <f>IF(tbl_Tasks_Clean[[#This Row],[Delay_Days]]&gt;0,"Delayed by "&amp;TEXT(tbl_Tasks_Clean[[#This Row],[Delay_Days]],"0")&amp;" days",IF(tbl_Tasks_Clean[[#This Row],[Delay_Days]]&lt;0,"Early by "&amp;TEXT(-tbl_Tasks_Clean[[#This Row],[Delay_Days]],"0")&amp;" days","On schedule"))</f>
        <v>Early by 2 days</v>
      </c>
    </row>
    <row r="37" spans="1:26" x14ac:dyDescent="0.3">
      <c r="A37" t="s">
        <v>428</v>
      </c>
      <c r="B37" t="s">
        <v>122</v>
      </c>
      <c r="C37" t="s">
        <v>123</v>
      </c>
      <c r="D37" t="s">
        <v>429</v>
      </c>
      <c r="E37" t="s">
        <v>150</v>
      </c>
      <c r="F37" t="s">
        <v>176</v>
      </c>
      <c r="G37" t="s">
        <v>350</v>
      </c>
      <c r="H37" t="s">
        <v>430</v>
      </c>
      <c r="I37">
        <v>1000</v>
      </c>
      <c r="J37">
        <v>0</v>
      </c>
      <c r="K37" s="22">
        <v>45513</v>
      </c>
      <c r="L37" s="22">
        <v>45531</v>
      </c>
      <c r="M37" s="22"/>
      <c r="N37">
        <v>18</v>
      </c>
      <c r="O37">
        <v>0</v>
      </c>
      <c r="P37" t="s">
        <v>111</v>
      </c>
      <c r="Q37" t="s">
        <v>124</v>
      </c>
      <c r="R37">
        <v>150000</v>
      </c>
      <c r="S37" t="s">
        <v>177</v>
      </c>
      <c r="T37">
        <v>250</v>
      </c>
      <c r="U37" s="29">
        <f>tbl_Tasks_Clean[[#This Row],[Actual_Cost]]-tbl_Tasks_Clean[[#This Row],[Planned_Cost]]</f>
        <v>-1000</v>
      </c>
      <c r="V37" s="30">
        <f>IFERROR(tbl_Tasks_Clean[[#This Row],[Cost_Variance]]/tbl_Tasks_Clean[[#This Row],[Planned_Cost]],0)</f>
        <v>-1</v>
      </c>
      <c r="W37" t="str">
        <f>IF(AND(tbl_Tasks_Clean[[#This Row],[Status]]="Completed",tbl_Tasks_Clean[[#This Row],[Delay_Days]]&lt;=0),"On Time",IF(AND(tbl_Tasks_Clean[[#This Row],[Status]]="Completed",tbl_Tasks_Clean[[#This Row],[Delay_Days]]&gt;0),"Late","N/A"))</f>
        <v>N/A</v>
      </c>
      <c r="X37" s="29" t="str" cm="1">
        <f t="array" ref="X37">_xlfn.IFS(tbl_Tasks_Clean[[#This Row],[Planned_Duration_Days]]&lt;=7,"Short (&lt;=7 days)",tbl_Tasks_Clean[[#This Row],[Planned_Duration_Days]]&lt;=20,"Medium (8-20 days)",TRUE,"Long (&gt;20 days)")</f>
        <v>Medium (8-20 days)</v>
      </c>
      <c r="Y37" s="29" t="str">
        <f>INDEX(Projects!$D:$D,MATCH(tbl_Tasks_Clean[[#This Row],[Project_ID]],Projects!$A:$A,0))</f>
        <v>Sara Hassan</v>
      </c>
      <c r="Z37" s="29" t="str">
        <f>IF(tbl_Tasks_Clean[[#This Row],[Delay_Days]]&gt;0,"Delayed by "&amp;TEXT(tbl_Tasks_Clean[[#This Row],[Delay_Days]],"0")&amp;" days",IF(tbl_Tasks_Clean[[#This Row],[Delay_Days]]&lt;0,"Early by "&amp;TEXT(-tbl_Tasks_Clean[[#This Row],[Delay_Days]],"0")&amp;" days","On schedule"))</f>
        <v>On schedule</v>
      </c>
    </row>
    <row r="38" spans="1:26" x14ac:dyDescent="0.3">
      <c r="A38" t="s">
        <v>433</v>
      </c>
      <c r="B38" t="s">
        <v>105</v>
      </c>
      <c r="C38" t="s">
        <v>106</v>
      </c>
      <c r="D38" t="s">
        <v>434</v>
      </c>
      <c r="E38" t="s">
        <v>187</v>
      </c>
      <c r="F38" t="s">
        <v>205</v>
      </c>
      <c r="G38" t="s">
        <v>350</v>
      </c>
      <c r="H38" t="s">
        <v>430</v>
      </c>
      <c r="I38">
        <v>5000</v>
      </c>
      <c r="J38">
        <v>0</v>
      </c>
      <c r="K38" s="22">
        <v>45428</v>
      </c>
      <c r="L38" s="22">
        <v>45436</v>
      </c>
      <c r="M38" s="22"/>
      <c r="N38">
        <v>8</v>
      </c>
      <c r="O38">
        <v>0</v>
      </c>
      <c r="P38" t="s">
        <v>107</v>
      </c>
      <c r="Q38" t="s">
        <v>84</v>
      </c>
      <c r="R38">
        <v>120000</v>
      </c>
      <c r="S38" t="s">
        <v>206</v>
      </c>
      <c r="T38">
        <v>150</v>
      </c>
      <c r="U38" s="29">
        <f>tbl_Tasks_Clean[[#This Row],[Actual_Cost]]-tbl_Tasks_Clean[[#This Row],[Planned_Cost]]</f>
        <v>-5000</v>
      </c>
      <c r="V38" s="30">
        <f>IFERROR(tbl_Tasks_Clean[[#This Row],[Cost_Variance]]/tbl_Tasks_Clean[[#This Row],[Planned_Cost]],0)</f>
        <v>-1</v>
      </c>
      <c r="W38" t="str">
        <f>IF(AND(tbl_Tasks_Clean[[#This Row],[Status]]="Completed",tbl_Tasks_Clean[[#This Row],[Delay_Days]]&lt;=0),"On Time",IF(AND(tbl_Tasks_Clean[[#This Row],[Status]]="Completed",tbl_Tasks_Clean[[#This Row],[Delay_Days]]&gt;0),"Late","N/A"))</f>
        <v>N/A</v>
      </c>
      <c r="X38" s="29" t="str" cm="1">
        <f t="array" ref="X38">_xlfn.IFS(tbl_Tasks_Clean[[#This Row],[Planned_Duration_Days]]&lt;=7,"Short (&lt;=7 days)",tbl_Tasks_Clean[[#This Row],[Planned_Duration_Days]]&lt;=20,"Medium (8-20 days)",TRUE,"Long (&gt;20 days)")</f>
        <v>Medium (8-20 days)</v>
      </c>
      <c r="Y38" s="29" t="str">
        <f>INDEX(Projects!$D:$D,MATCH(tbl_Tasks_Clean[[#This Row],[Project_ID]],Projects!$A:$A,0))</f>
        <v>Mona Farid</v>
      </c>
      <c r="Z38" s="29" t="str">
        <f>IF(tbl_Tasks_Clean[[#This Row],[Delay_Days]]&gt;0,"Delayed by "&amp;TEXT(tbl_Tasks_Clean[[#This Row],[Delay_Days]],"0")&amp;" days",IF(tbl_Tasks_Clean[[#This Row],[Delay_Days]]&lt;0,"Early by "&amp;TEXT(-tbl_Tasks_Clean[[#This Row],[Delay_Days]],"0")&amp;" days","On schedule"))</f>
        <v>On schedule</v>
      </c>
    </row>
    <row r="39" spans="1:26" x14ac:dyDescent="0.3">
      <c r="A39" t="s">
        <v>437</v>
      </c>
      <c r="B39" t="s">
        <v>105</v>
      </c>
      <c r="C39" t="s">
        <v>106</v>
      </c>
      <c r="D39" t="s">
        <v>438</v>
      </c>
      <c r="E39" t="s">
        <v>164</v>
      </c>
      <c r="F39" t="s">
        <v>200</v>
      </c>
      <c r="G39" t="s">
        <v>281</v>
      </c>
      <c r="H39" t="s">
        <v>269</v>
      </c>
      <c r="I39">
        <v>3000</v>
      </c>
      <c r="J39">
        <v>2512</v>
      </c>
      <c r="K39" s="22">
        <v>45419</v>
      </c>
      <c r="L39" s="22">
        <v>45449</v>
      </c>
      <c r="M39" s="22">
        <v>45448</v>
      </c>
      <c r="N39">
        <v>30</v>
      </c>
      <c r="O39">
        <v>-1</v>
      </c>
      <c r="P39" t="s">
        <v>107</v>
      </c>
      <c r="Q39" t="s">
        <v>84</v>
      </c>
      <c r="R39">
        <v>120000</v>
      </c>
      <c r="S39" t="s">
        <v>197</v>
      </c>
      <c r="T39">
        <v>150</v>
      </c>
      <c r="U39" s="29">
        <f>tbl_Tasks_Clean[[#This Row],[Actual_Cost]]-tbl_Tasks_Clean[[#This Row],[Planned_Cost]]</f>
        <v>-488</v>
      </c>
      <c r="V39" s="30">
        <f>IFERROR(tbl_Tasks_Clean[[#This Row],[Cost_Variance]]/tbl_Tasks_Clean[[#This Row],[Planned_Cost]],0)</f>
        <v>-0.16266666666666665</v>
      </c>
      <c r="W39" t="str">
        <f>IF(AND(tbl_Tasks_Clean[[#This Row],[Status]]="Completed",tbl_Tasks_Clean[[#This Row],[Delay_Days]]&lt;=0),"On Time",IF(AND(tbl_Tasks_Clean[[#This Row],[Status]]="Completed",tbl_Tasks_Clean[[#This Row],[Delay_Days]]&gt;0),"Late","N/A"))</f>
        <v>N/A</v>
      </c>
      <c r="X39" s="29" t="str" cm="1">
        <f t="array" ref="X39">_xlfn.IFS(tbl_Tasks_Clean[[#This Row],[Planned_Duration_Days]]&lt;=7,"Short (&lt;=7 days)",tbl_Tasks_Clean[[#This Row],[Planned_Duration_Days]]&lt;=20,"Medium (8-20 days)",TRUE,"Long (&gt;20 days)")</f>
        <v>Long (&gt;20 days)</v>
      </c>
      <c r="Y39" s="29" t="str">
        <f>INDEX(Projects!$D:$D,MATCH(tbl_Tasks_Clean[[#This Row],[Project_ID]],Projects!$A:$A,0))</f>
        <v>Mona Farid</v>
      </c>
      <c r="Z39" s="29" t="str">
        <f>IF(tbl_Tasks_Clean[[#This Row],[Delay_Days]]&gt;0,"Delayed by "&amp;TEXT(tbl_Tasks_Clean[[#This Row],[Delay_Days]],"0")&amp;" days",IF(tbl_Tasks_Clean[[#This Row],[Delay_Days]]&lt;0,"Early by "&amp;TEXT(-tbl_Tasks_Clean[[#This Row],[Delay_Days]],"0")&amp;" days","On schedule"))</f>
        <v>Early by 1 days</v>
      </c>
    </row>
    <row r="40" spans="1:26" x14ac:dyDescent="0.3">
      <c r="A40" t="s">
        <v>444</v>
      </c>
      <c r="B40" t="s">
        <v>122</v>
      </c>
      <c r="C40" t="s">
        <v>123</v>
      </c>
      <c r="D40" t="s">
        <v>445</v>
      </c>
      <c r="E40" t="s">
        <v>164</v>
      </c>
      <c r="F40" t="s">
        <v>167</v>
      </c>
      <c r="G40" t="s">
        <v>281</v>
      </c>
      <c r="H40" t="s">
        <v>287</v>
      </c>
      <c r="I40">
        <v>3000</v>
      </c>
      <c r="J40">
        <v>1021</v>
      </c>
      <c r="K40" s="22"/>
      <c r="L40" s="22"/>
      <c r="M40" s="22"/>
      <c r="O40">
        <v>0</v>
      </c>
      <c r="P40" t="s">
        <v>111</v>
      </c>
      <c r="Q40" t="s">
        <v>124</v>
      </c>
      <c r="R40">
        <v>150000</v>
      </c>
      <c r="S40" t="s">
        <v>164</v>
      </c>
      <c r="T40">
        <v>180</v>
      </c>
      <c r="U40" s="29">
        <f>tbl_Tasks_Clean[[#This Row],[Actual_Cost]]-tbl_Tasks_Clean[[#This Row],[Planned_Cost]]</f>
        <v>-1979</v>
      </c>
      <c r="V40" s="30">
        <f>IFERROR(tbl_Tasks_Clean[[#This Row],[Cost_Variance]]/tbl_Tasks_Clean[[#This Row],[Planned_Cost]],0)</f>
        <v>-0.65966666666666662</v>
      </c>
      <c r="W40" t="str">
        <f>IF(AND(tbl_Tasks_Clean[[#This Row],[Status]]="Completed",tbl_Tasks_Clean[[#This Row],[Delay_Days]]&lt;=0),"On Time",IF(AND(tbl_Tasks_Clean[[#This Row],[Status]]="Completed",tbl_Tasks_Clean[[#This Row],[Delay_Days]]&gt;0),"Late","N/A"))</f>
        <v>N/A</v>
      </c>
      <c r="X40" s="29" t="str" cm="1">
        <f t="array" ref="X40">_xlfn.IFS(tbl_Tasks_Clean[[#This Row],[Planned_Duration_Days]]&lt;=7,"Short (&lt;=7 days)",tbl_Tasks_Clean[[#This Row],[Planned_Duration_Days]]&lt;=20,"Medium (8-20 days)",TRUE,"Long (&gt;20 days)")</f>
        <v>Short (&lt;=7 days)</v>
      </c>
      <c r="Y40" s="29" t="str">
        <f>INDEX(Projects!$D:$D,MATCH(tbl_Tasks_Clean[[#This Row],[Project_ID]],Projects!$A:$A,0))</f>
        <v>Sara Hassan</v>
      </c>
      <c r="Z40" s="29" t="str">
        <f>IF(tbl_Tasks_Clean[[#This Row],[Delay_Days]]&gt;0,"Delayed by "&amp;TEXT(tbl_Tasks_Clean[[#This Row],[Delay_Days]],"0")&amp;" days",IF(tbl_Tasks_Clean[[#This Row],[Delay_Days]]&lt;0,"Early by "&amp;TEXT(-tbl_Tasks_Clean[[#This Row],[Delay_Days]],"0")&amp;" days","On schedule"))</f>
        <v>On schedule</v>
      </c>
    </row>
    <row r="41" spans="1:26" x14ac:dyDescent="0.3">
      <c r="A41" t="s">
        <v>448</v>
      </c>
      <c r="B41" t="s">
        <v>140</v>
      </c>
      <c r="C41" t="s">
        <v>141</v>
      </c>
      <c r="D41" t="s">
        <v>449</v>
      </c>
      <c r="E41" t="s">
        <v>177</v>
      </c>
      <c r="F41" t="s">
        <v>190</v>
      </c>
      <c r="G41" t="s">
        <v>250</v>
      </c>
      <c r="H41" t="s">
        <v>314</v>
      </c>
      <c r="I41">
        <v>10000</v>
      </c>
      <c r="J41">
        <v>10647</v>
      </c>
      <c r="K41" s="22">
        <v>45457</v>
      </c>
      <c r="L41" s="22">
        <v>45474</v>
      </c>
      <c r="M41" s="22">
        <v>45473</v>
      </c>
      <c r="N41">
        <v>17</v>
      </c>
      <c r="O41">
        <v>-1</v>
      </c>
      <c r="P41" t="s">
        <v>111</v>
      </c>
      <c r="Q41" t="s">
        <v>116</v>
      </c>
      <c r="R41">
        <v>75000</v>
      </c>
      <c r="S41" t="s">
        <v>187</v>
      </c>
      <c r="T41">
        <v>280</v>
      </c>
      <c r="U41" s="29">
        <f>tbl_Tasks_Clean[[#This Row],[Actual_Cost]]-tbl_Tasks_Clean[[#This Row],[Planned_Cost]]</f>
        <v>647</v>
      </c>
      <c r="V41" s="30">
        <f>IFERROR(tbl_Tasks_Clean[[#This Row],[Cost_Variance]]/tbl_Tasks_Clean[[#This Row],[Planned_Cost]],0)</f>
        <v>6.4699999999999994E-2</v>
      </c>
      <c r="W41" t="str">
        <f>IF(AND(tbl_Tasks_Clean[[#This Row],[Status]]="Completed",tbl_Tasks_Clean[[#This Row],[Delay_Days]]&lt;=0),"On Time",IF(AND(tbl_Tasks_Clean[[#This Row],[Status]]="Completed",tbl_Tasks_Clean[[#This Row],[Delay_Days]]&gt;0),"Late","N/A"))</f>
        <v>On Time</v>
      </c>
      <c r="X41" s="29" t="str" cm="1">
        <f t="array" ref="X41">_xlfn.IFS(tbl_Tasks_Clean[[#This Row],[Planned_Duration_Days]]&lt;=7,"Short (&lt;=7 days)",tbl_Tasks_Clean[[#This Row],[Planned_Duration_Days]]&lt;=20,"Medium (8-20 days)",TRUE,"Long (&gt;20 days)")</f>
        <v>Medium (8-20 days)</v>
      </c>
      <c r="Y41" s="29" t="str">
        <f>INDEX(Projects!$D:$D,MATCH(tbl_Tasks_Clean[[#This Row],[Project_ID]],Projects!$A:$A,0))</f>
        <v>Nourhan Tarek</v>
      </c>
      <c r="Z41" s="29" t="str">
        <f>IF(tbl_Tasks_Clean[[#This Row],[Delay_Days]]&gt;0,"Delayed by "&amp;TEXT(tbl_Tasks_Clean[[#This Row],[Delay_Days]],"0")&amp;" days",IF(tbl_Tasks_Clean[[#This Row],[Delay_Days]]&lt;0,"Early by "&amp;TEXT(-tbl_Tasks_Clean[[#This Row],[Delay_Days]],"0")&amp;" days","On schedule"))</f>
        <v>Early by 1 days</v>
      </c>
    </row>
    <row r="42" spans="1:26" x14ac:dyDescent="0.3">
      <c r="A42" t="s">
        <v>452</v>
      </c>
      <c r="B42" t="s">
        <v>118</v>
      </c>
      <c r="C42" t="s">
        <v>119</v>
      </c>
      <c r="D42" t="s">
        <v>453</v>
      </c>
      <c r="E42" t="s">
        <v>206</v>
      </c>
      <c r="F42" t="s">
        <v>176</v>
      </c>
      <c r="G42" t="s">
        <v>250</v>
      </c>
      <c r="H42" t="s">
        <v>287</v>
      </c>
      <c r="I42">
        <v>2500</v>
      </c>
      <c r="J42">
        <v>1242</v>
      </c>
      <c r="K42" s="22">
        <v>45348</v>
      </c>
      <c r="L42" s="22">
        <v>45364</v>
      </c>
      <c r="M42" s="22"/>
      <c r="N42">
        <v>16</v>
      </c>
      <c r="O42">
        <v>0</v>
      </c>
      <c r="P42" t="s">
        <v>120</v>
      </c>
      <c r="Q42" t="s">
        <v>99</v>
      </c>
      <c r="R42">
        <v>100000</v>
      </c>
      <c r="S42" t="s">
        <v>177</v>
      </c>
      <c r="T42">
        <v>250</v>
      </c>
      <c r="U42" s="29">
        <f>tbl_Tasks_Clean[[#This Row],[Actual_Cost]]-tbl_Tasks_Clean[[#This Row],[Planned_Cost]]</f>
        <v>-1258</v>
      </c>
      <c r="V42" s="30">
        <f>IFERROR(tbl_Tasks_Clean[[#This Row],[Cost_Variance]]/tbl_Tasks_Clean[[#This Row],[Planned_Cost]],0)</f>
        <v>-0.50319999999999998</v>
      </c>
      <c r="W42" t="str">
        <f>IF(AND(tbl_Tasks_Clean[[#This Row],[Status]]="Completed",tbl_Tasks_Clean[[#This Row],[Delay_Days]]&lt;=0),"On Time",IF(AND(tbl_Tasks_Clean[[#This Row],[Status]]="Completed",tbl_Tasks_Clean[[#This Row],[Delay_Days]]&gt;0),"Late","N/A"))</f>
        <v>N/A</v>
      </c>
      <c r="X42" s="29" t="str" cm="1">
        <f t="array" ref="X42">_xlfn.IFS(tbl_Tasks_Clean[[#This Row],[Planned_Duration_Days]]&lt;=7,"Short (&lt;=7 days)",tbl_Tasks_Clean[[#This Row],[Planned_Duration_Days]]&lt;=20,"Medium (8-20 days)",TRUE,"Long (&gt;20 days)")</f>
        <v>Medium (8-20 days)</v>
      </c>
      <c r="Y42" s="29" t="str">
        <f>INDEX(Projects!$D:$D,MATCH(tbl_Tasks_Clean[[#This Row],[Project_ID]],Projects!$A:$A,0))</f>
        <v>Laila Samir</v>
      </c>
      <c r="Z42" s="29" t="str">
        <f>IF(tbl_Tasks_Clean[[#This Row],[Delay_Days]]&gt;0,"Delayed by "&amp;TEXT(tbl_Tasks_Clean[[#This Row],[Delay_Days]],"0")&amp;" days",IF(tbl_Tasks_Clean[[#This Row],[Delay_Days]]&lt;0,"Early by "&amp;TEXT(-tbl_Tasks_Clean[[#This Row],[Delay_Days]],"0")&amp;" days","On schedule"))</f>
        <v>On schedule</v>
      </c>
    </row>
    <row r="43" spans="1:26" x14ac:dyDescent="0.3">
      <c r="A43" t="s">
        <v>456</v>
      </c>
      <c r="B43" t="s">
        <v>109</v>
      </c>
      <c r="C43" t="s">
        <v>110</v>
      </c>
      <c r="D43" t="s">
        <v>457</v>
      </c>
      <c r="E43" t="s">
        <v>150</v>
      </c>
      <c r="F43" t="s">
        <v>190</v>
      </c>
      <c r="G43" t="s">
        <v>250</v>
      </c>
      <c r="H43" t="s">
        <v>314</v>
      </c>
      <c r="I43">
        <v>1500</v>
      </c>
      <c r="J43">
        <v>1674</v>
      </c>
      <c r="K43" s="22">
        <v>45496</v>
      </c>
      <c r="L43" s="22">
        <v>45505</v>
      </c>
      <c r="M43" s="22">
        <v>45502</v>
      </c>
      <c r="N43">
        <v>9</v>
      </c>
      <c r="O43">
        <v>-3</v>
      </c>
      <c r="P43" t="s">
        <v>111</v>
      </c>
      <c r="Q43" t="s">
        <v>99</v>
      </c>
      <c r="R43">
        <v>120000</v>
      </c>
      <c r="S43" t="s">
        <v>187</v>
      </c>
      <c r="T43">
        <v>280</v>
      </c>
      <c r="U43" s="29">
        <f>tbl_Tasks_Clean[[#This Row],[Actual_Cost]]-tbl_Tasks_Clean[[#This Row],[Planned_Cost]]</f>
        <v>174</v>
      </c>
      <c r="V43" s="30">
        <f>IFERROR(tbl_Tasks_Clean[[#This Row],[Cost_Variance]]/tbl_Tasks_Clean[[#This Row],[Planned_Cost]],0)</f>
        <v>0.11600000000000001</v>
      </c>
      <c r="W43" t="str">
        <f>IF(AND(tbl_Tasks_Clean[[#This Row],[Status]]="Completed",tbl_Tasks_Clean[[#This Row],[Delay_Days]]&lt;=0),"On Time",IF(AND(tbl_Tasks_Clean[[#This Row],[Status]]="Completed",tbl_Tasks_Clean[[#This Row],[Delay_Days]]&gt;0),"Late","N/A"))</f>
        <v>On Time</v>
      </c>
      <c r="X43" s="29" t="str" cm="1">
        <f t="array" ref="X43">_xlfn.IFS(tbl_Tasks_Clean[[#This Row],[Planned_Duration_Days]]&lt;=7,"Short (&lt;=7 days)",tbl_Tasks_Clean[[#This Row],[Planned_Duration_Days]]&lt;=20,"Medium (8-20 days)",TRUE,"Long (&gt;20 days)")</f>
        <v>Medium (8-20 days)</v>
      </c>
      <c r="Y43" s="29" t="str">
        <f>INDEX(Projects!$D:$D,MATCH(tbl_Tasks_Clean[[#This Row],[Project_ID]],Projects!$A:$A,0))</f>
        <v>Laila Samir</v>
      </c>
      <c r="Z43" s="29" t="str">
        <f>IF(tbl_Tasks_Clean[[#This Row],[Delay_Days]]&gt;0,"Delayed by "&amp;TEXT(tbl_Tasks_Clean[[#This Row],[Delay_Days]],"0")&amp;" days",IF(tbl_Tasks_Clean[[#This Row],[Delay_Days]]&lt;0,"Early by "&amp;TEXT(-tbl_Tasks_Clean[[#This Row],[Delay_Days]],"0")&amp;" days","On schedule"))</f>
        <v>Early by 3 days</v>
      </c>
    </row>
    <row r="44" spans="1:26" x14ac:dyDescent="0.3">
      <c r="A44" t="s">
        <v>461</v>
      </c>
      <c r="B44" t="s">
        <v>126</v>
      </c>
      <c r="C44" t="s">
        <v>127</v>
      </c>
      <c r="D44" t="s">
        <v>462</v>
      </c>
      <c r="E44" t="s">
        <v>177</v>
      </c>
      <c r="F44" t="s">
        <v>169</v>
      </c>
      <c r="G44" t="s">
        <v>350</v>
      </c>
      <c r="H44" t="s">
        <v>287</v>
      </c>
      <c r="I44">
        <v>1000</v>
      </c>
      <c r="J44">
        <v>359</v>
      </c>
      <c r="K44" s="22">
        <v>45432</v>
      </c>
      <c r="L44" s="22">
        <v>45449</v>
      </c>
      <c r="M44" s="22"/>
      <c r="N44">
        <v>17</v>
      </c>
      <c r="O44">
        <v>0</v>
      </c>
      <c r="P44" t="s">
        <v>128</v>
      </c>
      <c r="Q44" t="s">
        <v>94</v>
      </c>
      <c r="R44">
        <v>200000</v>
      </c>
      <c r="S44" t="s">
        <v>164</v>
      </c>
      <c r="T44">
        <v>200</v>
      </c>
      <c r="U44" s="29">
        <f>tbl_Tasks_Clean[[#This Row],[Actual_Cost]]-tbl_Tasks_Clean[[#This Row],[Planned_Cost]]</f>
        <v>-641</v>
      </c>
      <c r="V44" s="30">
        <f>IFERROR(tbl_Tasks_Clean[[#This Row],[Cost_Variance]]/tbl_Tasks_Clean[[#This Row],[Planned_Cost]],0)</f>
        <v>-0.64100000000000001</v>
      </c>
      <c r="W44" t="str">
        <f>IF(AND(tbl_Tasks_Clean[[#This Row],[Status]]="Completed",tbl_Tasks_Clean[[#This Row],[Delay_Days]]&lt;=0),"On Time",IF(AND(tbl_Tasks_Clean[[#This Row],[Status]]="Completed",tbl_Tasks_Clean[[#This Row],[Delay_Days]]&gt;0),"Late","N/A"))</f>
        <v>N/A</v>
      </c>
      <c r="X44" s="29" t="str" cm="1">
        <f t="array" ref="X44">_xlfn.IFS(tbl_Tasks_Clean[[#This Row],[Planned_Duration_Days]]&lt;=7,"Short (&lt;=7 days)",tbl_Tasks_Clean[[#This Row],[Planned_Duration_Days]]&lt;=20,"Medium (8-20 days)",TRUE,"Long (&gt;20 days)")</f>
        <v>Medium (8-20 days)</v>
      </c>
      <c r="Y44" s="29" t="str">
        <f>INDEX(Projects!$D:$D,MATCH(tbl_Tasks_Clean[[#This Row],[Project_ID]],Projects!$A:$A,0))</f>
        <v>Ahmed Nabil</v>
      </c>
      <c r="Z44" s="29" t="str">
        <f>IF(tbl_Tasks_Clean[[#This Row],[Delay_Days]]&gt;0,"Delayed by "&amp;TEXT(tbl_Tasks_Clean[[#This Row],[Delay_Days]],"0")&amp;" days",IF(tbl_Tasks_Clean[[#This Row],[Delay_Days]]&lt;0,"Early by "&amp;TEXT(-tbl_Tasks_Clean[[#This Row],[Delay_Days]],"0")&amp;" days","On schedule"))</f>
        <v>On schedule</v>
      </c>
    </row>
    <row r="45" spans="1:26" x14ac:dyDescent="0.3">
      <c r="A45" t="s">
        <v>465</v>
      </c>
      <c r="B45" t="s">
        <v>118</v>
      </c>
      <c r="C45" t="s">
        <v>119</v>
      </c>
      <c r="D45" t="s">
        <v>1215</v>
      </c>
      <c r="E45" t="s">
        <v>164</v>
      </c>
      <c r="F45" t="s">
        <v>183</v>
      </c>
      <c r="G45" t="s">
        <v>350</v>
      </c>
      <c r="H45" t="s">
        <v>276</v>
      </c>
      <c r="I45">
        <v>2000</v>
      </c>
      <c r="J45">
        <v>0</v>
      </c>
      <c r="K45" s="22"/>
      <c r="L45" s="22"/>
      <c r="M45" s="22"/>
      <c r="O45">
        <v>0</v>
      </c>
      <c r="P45" t="s">
        <v>120</v>
      </c>
      <c r="Q45" t="s">
        <v>99</v>
      </c>
      <c r="R45">
        <v>100000</v>
      </c>
      <c r="S45" t="s">
        <v>177</v>
      </c>
      <c r="T45">
        <v>220</v>
      </c>
      <c r="U45" s="29">
        <f>tbl_Tasks_Clean[[#This Row],[Actual_Cost]]-tbl_Tasks_Clean[[#This Row],[Planned_Cost]]</f>
        <v>-2000</v>
      </c>
      <c r="V45" s="30">
        <f>IFERROR(tbl_Tasks_Clean[[#This Row],[Cost_Variance]]/tbl_Tasks_Clean[[#This Row],[Planned_Cost]],0)</f>
        <v>-1</v>
      </c>
      <c r="W45" t="str">
        <f>IF(AND(tbl_Tasks_Clean[[#This Row],[Status]]="Completed",tbl_Tasks_Clean[[#This Row],[Delay_Days]]&lt;=0),"On Time",IF(AND(tbl_Tasks_Clean[[#This Row],[Status]]="Completed",tbl_Tasks_Clean[[#This Row],[Delay_Days]]&gt;0),"Late","N/A"))</f>
        <v>N/A</v>
      </c>
      <c r="X45" s="29" t="str" cm="1">
        <f t="array" ref="X45">_xlfn.IFS(tbl_Tasks_Clean[[#This Row],[Planned_Duration_Days]]&lt;=7,"Short (&lt;=7 days)",tbl_Tasks_Clean[[#This Row],[Planned_Duration_Days]]&lt;=20,"Medium (8-20 days)",TRUE,"Long (&gt;20 days)")</f>
        <v>Short (&lt;=7 days)</v>
      </c>
      <c r="Y45" s="29" t="str">
        <f>INDEX(Projects!$D:$D,MATCH(tbl_Tasks_Clean[[#This Row],[Project_ID]],Projects!$A:$A,0))</f>
        <v>Laila Samir</v>
      </c>
      <c r="Z45" s="29" t="str">
        <f>IF(tbl_Tasks_Clean[[#This Row],[Delay_Days]]&gt;0,"Delayed by "&amp;TEXT(tbl_Tasks_Clean[[#This Row],[Delay_Days]],"0")&amp;" days",IF(tbl_Tasks_Clean[[#This Row],[Delay_Days]]&lt;0,"Early by "&amp;TEXT(-tbl_Tasks_Clean[[#This Row],[Delay_Days]],"0")&amp;" days","On schedule"))</f>
        <v>On schedule</v>
      </c>
    </row>
    <row r="46" spans="1:26" x14ac:dyDescent="0.3">
      <c r="A46" t="s">
        <v>470</v>
      </c>
      <c r="B46" t="s">
        <v>118</v>
      </c>
      <c r="C46" t="s">
        <v>119</v>
      </c>
      <c r="D46" t="s">
        <v>471</v>
      </c>
      <c r="E46" t="s">
        <v>187</v>
      </c>
      <c r="F46" t="s">
        <v>176</v>
      </c>
      <c r="G46" t="s">
        <v>281</v>
      </c>
      <c r="H46" t="s">
        <v>314</v>
      </c>
      <c r="I46">
        <v>6000</v>
      </c>
      <c r="J46">
        <v>8191</v>
      </c>
      <c r="K46" s="22">
        <v>45364</v>
      </c>
      <c r="L46" s="22">
        <v>45389</v>
      </c>
      <c r="M46" s="22">
        <v>45388</v>
      </c>
      <c r="N46">
        <v>25</v>
      </c>
      <c r="O46">
        <v>-1</v>
      </c>
      <c r="P46" t="s">
        <v>120</v>
      </c>
      <c r="Q46" t="s">
        <v>99</v>
      </c>
      <c r="R46">
        <v>100000</v>
      </c>
      <c r="S46" t="s">
        <v>177</v>
      </c>
      <c r="T46">
        <v>250</v>
      </c>
      <c r="U46" s="29">
        <f>tbl_Tasks_Clean[[#This Row],[Actual_Cost]]-tbl_Tasks_Clean[[#This Row],[Planned_Cost]]</f>
        <v>2191</v>
      </c>
      <c r="V46" s="30">
        <f>IFERROR(tbl_Tasks_Clean[[#This Row],[Cost_Variance]]/tbl_Tasks_Clean[[#This Row],[Planned_Cost]],0)</f>
        <v>0.36516666666666664</v>
      </c>
      <c r="W46" t="str">
        <f>IF(AND(tbl_Tasks_Clean[[#This Row],[Status]]="Completed",tbl_Tasks_Clean[[#This Row],[Delay_Days]]&lt;=0),"On Time",IF(AND(tbl_Tasks_Clean[[#This Row],[Status]]="Completed",tbl_Tasks_Clean[[#This Row],[Delay_Days]]&gt;0),"Late","N/A"))</f>
        <v>On Time</v>
      </c>
      <c r="X46" s="29" t="str" cm="1">
        <f t="array" ref="X46">_xlfn.IFS(tbl_Tasks_Clean[[#This Row],[Planned_Duration_Days]]&lt;=7,"Short (&lt;=7 days)",tbl_Tasks_Clean[[#This Row],[Planned_Duration_Days]]&lt;=20,"Medium (8-20 days)",TRUE,"Long (&gt;20 days)")</f>
        <v>Long (&gt;20 days)</v>
      </c>
      <c r="Y46" s="29" t="str">
        <f>INDEX(Projects!$D:$D,MATCH(tbl_Tasks_Clean[[#This Row],[Project_ID]],Projects!$A:$A,0))</f>
        <v>Laila Samir</v>
      </c>
      <c r="Z46" s="29" t="str">
        <f>IF(tbl_Tasks_Clean[[#This Row],[Delay_Days]]&gt;0,"Delayed by "&amp;TEXT(tbl_Tasks_Clean[[#This Row],[Delay_Days]],"0")&amp;" days",IF(tbl_Tasks_Clean[[#This Row],[Delay_Days]]&lt;0,"Early by "&amp;TEXT(-tbl_Tasks_Clean[[#This Row],[Delay_Days]],"0")&amp;" days","On schedule"))</f>
        <v>Early by 1 days</v>
      </c>
    </row>
    <row r="47" spans="1:26" x14ac:dyDescent="0.3">
      <c r="A47" t="s">
        <v>475</v>
      </c>
      <c r="B47" t="s">
        <v>122</v>
      </c>
      <c r="C47" t="s">
        <v>123</v>
      </c>
      <c r="D47" t="s">
        <v>476</v>
      </c>
      <c r="E47" t="s">
        <v>197</v>
      </c>
      <c r="F47" t="s">
        <v>193</v>
      </c>
      <c r="G47" t="s">
        <v>250</v>
      </c>
      <c r="H47" t="s">
        <v>319</v>
      </c>
      <c r="I47">
        <v>8000</v>
      </c>
      <c r="J47">
        <v>3329</v>
      </c>
      <c r="K47" s="22">
        <v>45506</v>
      </c>
      <c r="L47" s="22">
        <v>45523</v>
      </c>
      <c r="M47" s="22"/>
      <c r="N47">
        <v>17</v>
      </c>
      <c r="O47">
        <v>0</v>
      </c>
      <c r="P47" t="s">
        <v>111</v>
      </c>
      <c r="Q47" t="s">
        <v>124</v>
      </c>
      <c r="R47">
        <v>150000</v>
      </c>
      <c r="S47" t="s">
        <v>187</v>
      </c>
      <c r="T47">
        <v>300</v>
      </c>
      <c r="U47" s="29">
        <f>tbl_Tasks_Clean[[#This Row],[Actual_Cost]]-tbl_Tasks_Clean[[#This Row],[Planned_Cost]]</f>
        <v>-4671</v>
      </c>
      <c r="V47" s="30">
        <f>IFERROR(tbl_Tasks_Clean[[#This Row],[Cost_Variance]]/tbl_Tasks_Clean[[#This Row],[Planned_Cost]],0)</f>
        <v>-0.58387500000000003</v>
      </c>
      <c r="W47" t="str">
        <f>IF(AND(tbl_Tasks_Clean[[#This Row],[Status]]="Completed",tbl_Tasks_Clean[[#This Row],[Delay_Days]]&lt;=0),"On Time",IF(AND(tbl_Tasks_Clean[[#This Row],[Status]]="Completed",tbl_Tasks_Clean[[#This Row],[Delay_Days]]&gt;0),"Late","N/A"))</f>
        <v>N/A</v>
      </c>
      <c r="X47" s="29" t="str" cm="1">
        <f t="array" ref="X47">_xlfn.IFS(tbl_Tasks_Clean[[#This Row],[Planned_Duration_Days]]&lt;=7,"Short (&lt;=7 days)",tbl_Tasks_Clean[[#This Row],[Planned_Duration_Days]]&lt;=20,"Medium (8-20 days)",TRUE,"Long (&gt;20 days)")</f>
        <v>Medium (8-20 days)</v>
      </c>
      <c r="Y47" s="29" t="str">
        <f>INDEX(Projects!$D:$D,MATCH(tbl_Tasks_Clean[[#This Row],[Project_ID]],Projects!$A:$A,0))</f>
        <v>Sara Hassan</v>
      </c>
      <c r="Z47" s="29" t="str">
        <f>IF(tbl_Tasks_Clean[[#This Row],[Delay_Days]]&gt;0,"Delayed by "&amp;TEXT(tbl_Tasks_Clean[[#This Row],[Delay_Days]],"0")&amp;" days",IF(tbl_Tasks_Clean[[#This Row],[Delay_Days]]&lt;0,"Early by "&amp;TEXT(-tbl_Tasks_Clean[[#This Row],[Delay_Days]],"0")&amp;" days","On schedule"))</f>
        <v>On schedule</v>
      </c>
    </row>
    <row r="48" spans="1:26" x14ac:dyDescent="0.3">
      <c r="A48" t="s">
        <v>479</v>
      </c>
      <c r="B48" t="s">
        <v>109</v>
      </c>
      <c r="C48" t="s">
        <v>110</v>
      </c>
      <c r="D48" t="s">
        <v>480</v>
      </c>
      <c r="E48" t="s">
        <v>164</v>
      </c>
      <c r="F48" t="s">
        <v>205</v>
      </c>
      <c r="G48" t="s">
        <v>350</v>
      </c>
      <c r="H48" t="s">
        <v>287</v>
      </c>
      <c r="I48">
        <v>10000</v>
      </c>
      <c r="J48">
        <v>3913</v>
      </c>
      <c r="K48" s="22">
        <v>45494</v>
      </c>
      <c r="L48" s="22">
        <v>45523</v>
      </c>
      <c r="M48" s="22"/>
      <c r="N48">
        <v>29</v>
      </c>
      <c r="O48">
        <v>0</v>
      </c>
      <c r="P48" t="s">
        <v>111</v>
      </c>
      <c r="Q48" t="s">
        <v>99</v>
      </c>
      <c r="R48">
        <v>120000</v>
      </c>
      <c r="S48" t="s">
        <v>206</v>
      </c>
      <c r="T48">
        <v>150</v>
      </c>
      <c r="U48" s="29">
        <f>tbl_Tasks_Clean[[#This Row],[Actual_Cost]]-tbl_Tasks_Clean[[#This Row],[Planned_Cost]]</f>
        <v>-6087</v>
      </c>
      <c r="V48" s="30">
        <f>IFERROR(tbl_Tasks_Clean[[#This Row],[Cost_Variance]]/tbl_Tasks_Clean[[#This Row],[Planned_Cost]],0)</f>
        <v>-0.60870000000000002</v>
      </c>
      <c r="W48" t="str">
        <f>IF(AND(tbl_Tasks_Clean[[#This Row],[Status]]="Completed",tbl_Tasks_Clean[[#This Row],[Delay_Days]]&lt;=0),"On Time",IF(AND(tbl_Tasks_Clean[[#This Row],[Status]]="Completed",tbl_Tasks_Clean[[#This Row],[Delay_Days]]&gt;0),"Late","N/A"))</f>
        <v>N/A</v>
      </c>
      <c r="X48" s="29" t="str" cm="1">
        <f t="array" ref="X48">_xlfn.IFS(tbl_Tasks_Clean[[#This Row],[Planned_Duration_Days]]&lt;=7,"Short (&lt;=7 days)",tbl_Tasks_Clean[[#This Row],[Planned_Duration_Days]]&lt;=20,"Medium (8-20 days)",TRUE,"Long (&gt;20 days)")</f>
        <v>Long (&gt;20 days)</v>
      </c>
      <c r="Y48" s="29" t="str">
        <f>INDEX(Projects!$D:$D,MATCH(tbl_Tasks_Clean[[#This Row],[Project_ID]],Projects!$A:$A,0))</f>
        <v>Laila Samir</v>
      </c>
      <c r="Z48" s="29" t="str">
        <f>IF(tbl_Tasks_Clean[[#This Row],[Delay_Days]]&gt;0,"Delayed by "&amp;TEXT(tbl_Tasks_Clean[[#This Row],[Delay_Days]],"0")&amp;" days",IF(tbl_Tasks_Clean[[#This Row],[Delay_Days]]&lt;0,"Early by "&amp;TEXT(-tbl_Tasks_Clean[[#This Row],[Delay_Days]],"0")&amp;" days","On schedule"))</f>
        <v>On schedule</v>
      </c>
    </row>
    <row r="49" spans="1:26" x14ac:dyDescent="0.3">
      <c r="A49" t="s">
        <v>484</v>
      </c>
      <c r="B49" t="s">
        <v>91</v>
      </c>
      <c r="C49" t="s">
        <v>92</v>
      </c>
      <c r="D49" t="s">
        <v>485</v>
      </c>
      <c r="E49" t="s">
        <v>1435</v>
      </c>
      <c r="F49" t="s">
        <v>180</v>
      </c>
      <c r="G49" t="s">
        <v>281</v>
      </c>
      <c r="H49" t="s">
        <v>487</v>
      </c>
      <c r="I49">
        <v>8000</v>
      </c>
      <c r="J49">
        <v>6292</v>
      </c>
      <c r="K49" s="22">
        <v>45450</v>
      </c>
      <c r="L49" s="22">
        <v>45453</v>
      </c>
      <c r="M49" s="22">
        <v>45458</v>
      </c>
      <c r="N49">
        <v>3</v>
      </c>
      <c r="O49">
        <v>5</v>
      </c>
      <c r="P49" t="s">
        <v>93</v>
      </c>
      <c r="Q49" t="s">
        <v>94</v>
      </c>
      <c r="R49">
        <v>100000</v>
      </c>
      <c r="S49" t="s">
        <v>177</v>
      </c>
      <c r="T49">
        <v>280</v>
      </c>
      <c r="U49" s="29">
        <f>tbl_Tasks_Clean[[#This Row],[Actual_Cost]]-tbl_Tasks_Clean[[#This Row],[Planned_Cost]]</f>
        <v>-1708</v>
      </c>
      <c r="V49" s="30">
        <f>IFERROR(tbl_Tasks_Clean[[#This Row],[Cost_Variance]]/tbl_Tasks_Clean[[#This Row],[Planned_Cost]],0)</f>
        <v>-0.2135</v>
      </c>
      <c r="W49" t="str">
        <f>IF(AND(tbl_Tasks_Clean[[#This Row],[Status]]="Completed",tbl_Tasks_Clean[[#This Row],[Delay_Days]]&lt;=0),"On Time",IF(AND(tbl_Tasks_Clean[[#This Row],[Status]]="Completed",tbl_Tasks_Clean[[#This Row],[Delay_Days]]&gt;0),"Late","N/A"))</f>
        <v>N/A</v>
      </c>
      <c r="X49" s="29" t="str" cm="1">
        <f t="array" ref="X49">_xlfn.IFS(tbl_Tasks_Clean[[#This Row],[Planned_Duration_Days]]&lt;=7,"Short (&lt;=7 days)",tbl_Tasks_Clean[[#This Row],[Planned_Duration_Days]]&lt;=20,"Medium (8-20 days)",TRUE,"Long (&gt;20 days)")</f>
        <v>Short (&lt;=7 days)</v>
      </c>
      <c r="Y49" s="29" t="str">
        <f>INDEX(Projects!$D:$D,MATCH(tbl_Tasks_Clean[[#This Row],[Project_ID]],Projects!$A:$A,0))</f>
        <v>Ahmed Nabil</v>
      </c>
      <c r="Z49" s="29" t="str">
        <f>IF(tbl_Tasks_Clean[[#This Row],[Delay_Days]]&gt;0,"Delayed by "&amp;TEXT(tbl_Tasks_Clean[[#This Row],[Delay_Days]],"0")&amp;" days",IF(tbl_Tasks_Clean[[#This Row],[Delay_Days]]&lt;0,"Early by "&amp;TEXT(-tbl_Tasks_Clean[[#This Row],[Delay_Days]],"0")&amp;" days","On schedule"))</f>
        <v>Delayed by 5 days</v>
      </c>
    </row>
    <row r="50" spans="1:26" x14ac:dyDescent="0.3">
      <c r="A50" t="s">
        <v>491</v>
      </c>
      <c r="B50" t="s">
        <v>96</v>
      </c>
      <c r="C50" t="s">
        <v>97</v>
      </c>
      <c r="D50" t="s">
        <v>492</v>
      </c>
      <c r="E50" t="s">
        <v>197</v>
      </c>
      <c r="F50" t="s">
        <v>216</v>
      </c>
      <c r="G50" t="s">
        <v>350</v>
      </c>
      <c r="H50" t="s">
        <v>276</v>
      </c>
      <c r="I50">
        <v>1500</v>
      </c>
      <c r="J50">
        <v>0</v>
      </c>
      <c r="K50" s="22">
        <v>45572</v>
      </c>
      <c r="L50" s="22">
        <v>45591</v>
      </c>
      <c r="M50" s="22"/>
      <c r="N50">
        <v>19</v>
      </c>
      <c r="O50">
        <v>0</v>
      </c>
      <c r="P50" t="s">
        <v>98</v>
      </c>
      <c r="Q50" t="s">
        <v>99</v>
      </c>
      <c r="R50">
        <v>75000</v>
      </c>
      <c r="S50" t="s">
        <v>206</v>
      </c>
      <c r="T50">
        <v>200</v>
      </c>
      <c r="U50" s="29">
        <f>tbl_Tasks_Clean[[#This Row],[Actual_Cost]]-tbl_Tasks_Clean[[#This Row],[Planned_Cost]]</f>
        <v>-1500</v>
      </c>
      <c r="V50" s="30">
        <f>IFERROR(tbl_Tasks_Clean[[#This Row],[Cost_Variance]]/tbl_Tasks_Clean[[#This Row],[Planned_Cost]],0)</f>
        <v>-1</v>
      </c>
      <c r="W50" t="str">
        <f>IF(AND(tbl_Tasks_Clean[[#This Row],[Status]]="Completed",tbl_Tasks_Clean[[#This Row],[Delay_Days]]&lt;=0),"On Time",IF(AND(tbl_Tasks_Clean[[#This Row],[Status]]="Completed",tbl_Tasks_Clean[[#This Row],[Delay_Days]]&gt;0),"Late","N/A"))</f>
        <v>N/A</v>
      </c>
      <c r="X50" s="29" t="str" cm="1">
        <f t="array" ref="X50">_xlfn.IFS(tbl_Tasks_Clean[[#This Row],[Planned_Duration_Days]]&lt;=7,"Short (&lt;=7 days)",tbl_Tasks_Clean[[#This Row],[Planned_Duration_Days]]&lt;=20,"Medium (8-20 days)",TRUE,"Long (&gt;20 days)")</f>
        <v>Medium (8-20 days)</v>
      </c>
      <c r="Y50" s="29" t="str">
        <f>INDEX(Projects!$D:$D,MATCH(tbl_Tasks_Clean[[#This Row],[Project_ID]],Projects!$A:$A,0))</f>
        <v>Laila Samir</v>
      </c>
      <c r="Z50" s="29" t="str">
        <f>IF(tbl_Tasks_Clean[[#This Row],[Delay_Days]]&gt;0,"Delayed by "&amp;TEXT(tbl_Tasks_Clean[[#This Row],[Delay_Days]],"0")&amp;" days",IF(tbl_Tasks_Clean[[#This Row],[Delay_Days]]&lt;0,"Early by "&amp;TEXT(-tbl_Tasks_Clean[[#This Row],[Delay_Days]],"0")&amp;" days","On schedule"))</f>
        <v>On schedule</v>
      </c>
    </row>
    <row r="51" spans="1:26" x14ac:dyDescent="0.3">
      <c r="A51" t="s">
        <v>495</v>
      </c>
      <c r="B51" t="s">
        <v>101</v>
      </c>
      <c r="C51" t="s">
        <v>102</v>
      </c>
      <c r="D51" t="s">
        <v>496</v>
      </c>
      <c r="E51" t="s">
        <v>177</v>
      </c>
      <c r="F51" t="s">
        <v>161</v>
      </c>
      <c r="G51" t="s">
        <v>250</v>
      </c>
      <c r="H51" t="s">
        <v>356</v>
      </c>
      <c r="I51">
        <v>2000</v>
      </c>
      <c r="J51">
        <v>2236</v>
      </c>
      <c r="K51" s="22"/>
      <c r="L51" s="22"/>
      <c r="M51" s="22"/>
      <c r="O51">
        <v>0</v>
      </c>
      <c r="P51" t="s">
        <v>103</v>
      </c>
      <c r="Q51" t="s">
        <v>94</v>
      </c>
      <c r="R51">
        <v>50000</v>
      </c>
      <c r="S51" t="s">
        <v>150</v>
      </c>
      <c r="T51">
        <v>220</v>
      </c>
      <c r="U51" s="29">
        <f>tbl_Tasks_Clean[[#This Row],[Actual_Cost]]-tbl_Tasks_Clean[[#This Row],[Planned_Cost]]</f>
        <v>236</v>
      </c>
      <c r="V51" s="30">
        <f>IFERROR(tbl_Tasks_Clean[[#This Row],[Cost_Variance]]/tbl_Tasks_Clean[[#This Row],[Planned_Cost]],0)</f>
        <v>0.11799999999999999</v>
      </c>
      <c r="W51" t="str">
        <f>IF(AND(tbl_Tasks_Clean[[#This Row],[Status]]="Completed",tbl_Tasks_Clean[[#This Row],[Delay_Days]]&lt;=0),"On Time",IF(AND(tbl_Tasks_Clean[[#This Row],[Status]]="Completed",tbl_Tasks_Clean[[#This Row],[Delay_Days]]&gt;0),"Late","N/A"))</f>
        <v>N/A</v>
      </c>
      <c r="X51" s="29" t="str" cm="1">
        <f t="array" ref="X51">_xlfn.IFS(tbl_Tasks_Clean[[#This Row],[Planned_Duration_Days]]&lt;=7,"Short (&lt;=7 days)",tbl_Tasks_Clean[[#This Row],[Planned_Duration_Days]]&lt;=20,"Medium (8-20 days)",TRUE,"Long (&gt;20 days)")</f>
        <v>Short (&lt;=7 days)</v>
      </c>
      <c r="Y51" s="29" t="str">
        <f>INDEX(Projects!$D:$D,MATCH(tbl_Tasks_Clean[[#This Row],[Project_ID]],Projects!$A:$A,0))</f>
        <v>Ahmed Nabil</v>
      </c>
      <c r="Z51" s="29" t="str">
        <f>IF(tbl_Tasks_Clean[[#This Row],[Delay_Days]]&gt;0,"Delayed by "&amp;TEXT(tbl_Tasks_Clean[[#This Row],[Delay_Days]],"0")&amp;" days",IF(tbl_Tasks_Clean[[#This Row],[Delay_Days]]&lt;0,"Early by "&amp;TEXT(-tbl_Tasks_Clean[[#This Row],[Delay_Days]],"0")&amp;" days","On schedule"))</f>
        <v>On schedule</v>
      </c>
    </row>
    <row r="52" spans="1:26" x14ac:dyDescent="0.3">
      <c r="A52" t="s">
        <v>500</v>
      </c>
      <c r="B52" t="s">
        <v>86</v>
      </c>
      <c r="C52" t="s">
        <v>87</v>
      </c>
      <c r="D52" t="s">
        <v>280</v>
      </c>
      <c r="E52" t="s">
        <v>206</v>
      </c>
      <c r="F52" t="s">
        <v>224</v>
      </c>
      <c r="G52" t="s">
        <v>281</v>
      </c>
      <c r="H52" t="s">
        <v>287</v>
      </c>
      <c r="I52">
        <v>3000</v>
      </c>
      <c r="J52">
        <v>2365</v>
      </c>
      <c r="K52" s="22"/>
      <c r="L52" s="22"/>
      <c r="M52" s="22"/>
      <c r="O52">
        <v>0</v>
      </c>
      <c r="P52" t="s">
        <v>88</v>
      </c>
      <c r="Q52" t="s">
        <v>89</v>
      </c>
      <c r="R52">
        <v>150000</v>
      </c>
      <c r="S52" t="s">
        <v>219</v>
      </c>
      <c r="T52">
        <v>200</v>
      </c>
      <c r="U52" s="29">
        <f>tbl_Tasks_Clean[[#This Row],[Actual_Cost]]-tbl_Tasks_Clean[[#This Row],[Planned_Cost]]</f>
        <v>-635</v>
      </c>
      <c r="V52" s="30">
        <f>IFERROR(tbl_Tasks_Clean[[#This Row],[Cost_Variance]]/tbl_Tasks_Clean[[#This Row],[Planned_Cost]],0)</f>
        <v>-0.21166666666666667</v>
      </c>
      <c r="W52" t="str">
        <f>IF(AND(tbl_Tasks_Clean[[#This Row],[Status]]="Completed",tbl_Tasks_Clean[[#This Row],[Delay_Days]]&lt;=0),"On Time",IF(AND(tbl_Tasks_Clean[[#This Row],[Status]]="Completed",tbl_Tasks_Clean[[#This Row],[Delay_Days]]&gt;0),"Late","N/A"))</f>
        <v>N/A</v>
      </c>
      <c r="X52" s="29" t="str" cm="1">
        <f t="array" ref="X52">_xlfn.IFS(tbl_Tasks_Clean[[#This Row],[Planned_Duration_Days]]&lt;=7,"Short (&lt;=7 days)",tbl_Tasks_Clean[[#This Row],[Planned_Duration_Days]]&lt;=20,"Medium (8-20 days)",TRUE,"Long (&gt;20 days)")</f>
        <v>Short (&lt;=7 days)</v>
      </c>
      <c r="Y52" s="29" t="str">
        <f>INDEX(Projects!$D:$D,MATCH(tbl_Tasks_Clean[[#This Row],[Project_ID]],Projects!$A:$A,0))</f>
        <v>Youssef Adel</v>
      </c>
      <c r="Z52" s="29" t="str">
        <f>IF(tbl_Tasks_Clean[[#This Row],[Delay_Days]]&gt;0,"Delayed by "&amp;TEXT(tbl_Tasks_Clean[[#This Row],[Delay_Days]],"0")&amp;" days",IF(tbl_Tasks_Clean[[#This Row],[Delay_Days]]&lt;0,"Early by "&amp;TEXT(-tbl_Tasks_Clean[[#This Row],[Delay_Days]],"0")&amp;" days","On schedule"))</f>
        <v>On schedule</v>
      </c>
    </row>
    <row r="53" spans="1:26" x14ac:dyDescent="0.3">
      <c r="A53" t="s">
        <v>503</v>
      </c>
      <c r="B53" t="s">
        <v>133</v>
      </c>
      <c r="C53" t="s">
        <v>134</v>
      </c>
      <c r="D53" t="s">
        <v>504</v>
      </c>
      <c r="E53" t="s">
        <v>164</v>
      </c>
      <c r="F53" t="s">
        <v>149</v>
      </c>
      <c r="G53" t="s">
        <v>350</v>
      </c>
      <c r="H53" t="s">
        <v>356</v>
      </c>
      <c r="I53">
        <v>5000</v>
      </c>
      <c r="J53">
        <v>5016</v>
      </c>
      <c r="K53" s="22">
        <v>45487</v>
      </c>
      <c r="L53" s="22">
        <v>45502</v>
      </c>
      <c r="M53" s="22">
        <v>45502</v>
      </c>
      <c r="N53">
        <v>15</v>
      </c>
      <c r="O53">
        <v>0</v>
      </c>
      <c r="P53" t="s">
        <v>111</v>
      </c>
      <c r="Q53" t="s">
        <v>116</v>
      </c>
      <c r="R53">
        <v>200000</v>
      </c>
      <c r="S53" t="s">
        <v>150</v>
      </c>
      <c r="T53">
        <v>150</v>
      </c>
      <c r="U53" s="29">
        <f>tbl_Tasks_Clean[[#This Row],[Actual_Cost]]-tbl_Tasks_Clean[[#This Row],[Planned_Cost]]</f>
        <v>16</v>
      </c>
      <c r="V53" s="30">
        <f>IFERROR(tbl_Tasks_Clean[[#This Row],[Cost_Variance]]/tbl_Tasks_Clean[[#This Row],[Planned_Cost]],0)</f>
        <v>3.2000000000000002E-3</v>
      </c>
      <c r="W53" t="str">
        <f>IF(AND(tbl_Tasks_Clean[[#This Row],[Status]]="Completed",tbl_Tasks_Clean[[#This Row],[Delay_Days]]&lt;=0),"On Time",IF(AND(tbl_Tasks_Clean[[#This Row],[Status]]="Completed",tbl_Tasks_Clean[[#This Row],[Delay_Days]]&gt;0),"Late","N/A"))</f>
        <v>N/A</v>
      </c>
      <c r="X53" s="29" t="str" cm="1">
        <f t="array" ref="X53">_xlfn.IFS(tbl_Tasks_Clean[[#This Row],[Planned_Duration_Days]]&lt;=7,"Short (&lt;=7 days)",tbl_Tasks_Clean[[#This Row],[Planned_Duration_Days]]&lt;=20,"Medium (8-20 days)",TRUE,"Long (&gt;20 days)")</f>
        <v>Medium (8-20 days)</v>
      </c>
      <c r="Y53" s="29" t="str">
        <f>INDEX(Projects!$D:$D,MATCH(tbl_Tasks_Clean[[#This Row],[Project_ID]],Projects!$A:$A,0))</f>
        <v>Nourhan Tarek</v>
      </c>
      <c r="Z53" s="29" t="str">
        <f>IF(tbl_Tasks_Clean[[#This Row],[Delay_Days]]&gt;0,"Delayed by "&amp;TEXT(tbl_Tasks_Clean[[#This Row],[Delay_Days]],"0")&amp;" days",IF(tbl_Tasks_Clean[[#This Row],[Delay_Days]]&lt;0,"Early by "&amp;TEXT(-tbl_Tasks_Clean[[#This Row],[Delay_Days]],"0")&amp;" days","On schedule"))</f>
        <v>On schedule</v>
      </c>
    </row>
    <row r="54" spans="1:26" x14ac:dyDescent="0.3">
      <c r="A54" t="s">
        <v>508</v>
      </c>
      <c r="B54" t="s">
        <v>96</v>
      </c>
      <c r="C54" t="s">
        <v>97</v>
      </c>
      <c r="D54" t="s">
        <v>306</v>
      </c>
      <c r="E54" t="s">
        <v>1435</v>
      </c>
      <c r="F54" t="s">
        <v>190</v>
      </c>
      <c r="G54" t="s">
        <v>250</v>
      </c>
      <c r="H54" t="s">
        <v>487</v>
      </c>
      <c r="I54">
        <v>5000</v>
      </c>
      <c r="J54">
        <v>4686</v>
      </c>
      <c r="K54" s="22">
        <v>45575</v>
      </c>
      <c r="L54" s="22">
        <v>45592</v>
      </c>
      <c r="M54" s="22">
        <v>45596</v>
      </c>
      <c r="N54">
        <v>17</v>
      </c>
      <c r="O54">
        <v>4</v>
      </c>
      <c r="P54" t="s">
        <v>98</v>
      </c>
      <c r="Q54" t="s">
        <v>99</v>
      </c>
      <c r="R54">
        <v>75000</v>
      </c>
      <c r="S54" t="s">
        <v>187</v>
      </c>
      <c r="T54">
        <v>280</v>
      </c>
      <c r="U54" s="29">
        <f>tbl_Tasks_Clean[[#This Row],[Actual_Cost]]-tbl_Tasks_Clean[[#This Row],[Planned_Cost]]</f>
        <v>-314</v>
      </c>
      <c r="V54" s="30">
        <f>IFERROR(tbl_Tasks_Clean[[#This Row],[Cost_Variance]]/tbl_Tasks_Clean[[#This Row],[Planned_Cost]],0)</f>
        <v>-6.2799999999999995E-2</v>
      </c>
      <c r="W54" t="str">
        <f>IF(AND(tbl_Tasks_Clean[[#This Row],[Status]]="Completed",tbl_Tasks_Clean[[#This Row],[Delay_Days]]&lt;=0),"On Time",IF(AND(tbl_Tasks_Clean[[#This Row],[Status]]="Completed",tbl_Tasks_Clean[[#This Row],[Delay_Days]]&gt;0),"Late","N/A"))</f>
        <v>N/A</v>
      </c>
      <c r="X54" s="29" t="str" cm="1">
        <f t="array" ref="X54">_xlfn.IFS(tbl_Tasks_Clean[[#This Row],[Planned_Duration_Days]]&lt;=7,"Short (&lt;=7 days)",tbl_Tasks_Clean[[#This Row],[Planned_Duration_Days]]&lt;=20,"Medium (8-20 days)",TRUE,"Long (&gt;20 days)")</f>
        <v>Medium (8-20 days)</v>
      </c>
      <c r="Y54" s="29" t="str">
        <f>INDEX(Projects!$D:$D,MATCH(tbl_Tasks_Clean[[#This Row],[Project_ID]],Projects!$A:$A,0))</f>
        <v>Laila Samir</v>
      </c>
      <c r="Z54" s="29" t="str">
        <f>IF(tbl_Tasks_Clean[[#This Row],[Delay_Days]]&gt;0,"Delayed by "&amp;TEXT(tbl_Tasks_Clean[[#This Row],[Delay_Days]],"0")&amp;" days",IF(tbl_Tasks_Clean[[#This Row],[Delay_Days]]&lt;0,"Early by "&amp;TEXT(-tbl_Tasks_Clean[[#This Row],[Delay_Days]],"0")&amp;" days","On schedule"))</f>
        <v>Delayed by 4 days</v>
      </c>
    </row>
    <row r="55" spans="1:26" x14ac:dyDescent="0.3">
      <c r="A55" t="s">
        <v>513</v>
      </c>
      <c r="B55" t="s">
        <v>122</v>
      </c>
      <c r="C55" t="s">
        <v>123</v>
      </c>
      <c r="D55" t="s">
        <v>514</v>
      </c>
      <c r="E55" t="s">
        <v>177</v>
      </c>
      <c r="F55" t="s">
        <v>203</v>
      </c>
      <c r="G55" t="s">
        <v>281</v>
      </c>
      <c r="H55" t="s">
        <v>319</v>
      </c>
      <c r="I55">
        <v>4000</v>
      </c>
      <c r="J55">
        <v>3074</v>
      </c>
      <c r="K55" s="22"/>
      <c r="L55" s="22"/>
      <c r="M55" s="22"/>
      <c r="O55">
        <v>0</v>
      </c>
      <c r="P55" t="s">
        <v>111</v>
      </c>
      <c r="Q55" t="s">
        <v>124</v>
      </c>
      <c r="R55">
        <v>150000</v>
      </c>
      <c r="S55" t="s">
        <v>197</v>
      </c>
      <c r="T55">
        <v>300</v>
      </c>
      <c r="U55" s="29">
        <f>tbl_Tasks_Clean[[#This Row],[Actual_Cost]]-tbl_Tasks_Clean[[#This Row],[Planned_Cost]]</f>
        <v>-926</v>
      </c>
      <c r="V55" s="30">
        <f>IFERROR(tbl_Tasks_Clean[[#This Row],[Cost_Variance]]/tbl_Tasks_Clean[[#This Row],[Planned_Cost]],0)</f>
        <v>-0.23150000000000001</v>
      </c>
      <c r="W55" t="str">
        <f>IF(AND(tbl_Tasks_Clean[[#This Row],[Status]]="Completed",tbl_Tasks_Clean[[#This Row],[Delay_Days]]&lt;=0),"On Time",IF(AND(tbl_Tasks_Clean[[#This Row],[Status]]="Completed",tbl_Tasks_Clean[[#This Row],[Delay_Days]]&gt;0),"Late","N/A"))</f>
        <v>N/A</v>
      </c>
      <c r="X55" s="29" t="str" cm="1">
        <f t="array" ref="X55">_xlfn.IFS(tbl_Tasks_Clean[[#This Row],[Planned_Duration_Days]]&lt;=7,"Short (&lt;=7 days)",tbl_Tasks_Clean[[#This Row],[Planned_Duration_Days]]&lt;=20,"Medium (8-20 days)",TRUE,"Long (&gt;20 days)")</f>
        <v>Short (&lt;=7 days)</v>
      </c>
      <c r="Y55" s="29" t="str">
        <f>INDEX(Projects!$D:$D,MATCH(tbl_Tasks_Clean[[#This Row],[Project_ID]],Projects!$A:$A,0))</f>
        <v>Sara Hassan</v>
      </c>
      <c r="Z55" s="29" t="str">
        <f>IF(tbl_Tasks_Clean[[#This Row],[Delay_Days]]&gt;0,"Delayed by "&amp;TEXT(tbl_Tasks_Clean[[#This Row],[Delay_Days]],"0")&amp;" days",IF(tbl_Tasks_Clean[[#This Row],[Delay_Days]]&lt;0,"Early by "&amp;TEXT(-tbl_Tasks_Clean[[#This Row],[Delay_Days]],"0")&amp;" days","On schedule"))</f>
        <v>On schedule</v>
      </c>
    </row>
    <row r="56" spans="1:26" x14ac:dyDescent="0.3">
      <c r="A56" t="s">
        <v>516</v>
      </c>
      <c r="B56" t="s">
        <v>133</v>
      </c>
      <c r="C56" t="s">
        <v>134</v>
      </c>
      <c r="D56" t="s">
        <v>1440</v>
      </c>
      <c r="E56" t="s">
        <v>150</v>
      </c>
      <c r="F56" t="s">
        <v>158</v>
      </c>
      <c r="G56" t="s">
        <v>350</v>
      </c>
      <c r="H56" t="s">
        <v>314</v>
      </c>
      <c r="I56">
        <v>5000</v>
      </c>
      <c r="J56">
        <v>6706</v>
      </c>
      <c r="K56" s="22">
        <v>45393</v>
      </c>
      <c r="L56" s="22">
        <v>45417</v>
      </c>
      <c r="M56" s="22">
        <v>45416</v>
      </c>
      <c r="N56">
        <v>24</v>
      </c>
      <c r="O56">
        <v>-1</v>
      </c>
      <c r="P56" t="s">
        <v>111</v>
      </c>
      <c r="Q56" t="s">
        <v>116</v>
      </c>
      <c r="R56">
        <v>200000</v>
      </c>
      <c r="S56" t="s">
        <v>150</v>
      </c>
      <c r="T56">
        <v>180</v>
      </c>
      <c r="U56" s="29">
        <f>tbl_Tasks_Clean[[#This Row],[Actual_Cost]]-tbl_Tasks_Clean[[#This Row],[Planned_Cost]]</f>
        <v>1706</v>
      </c>
      <c r="V56" s="30">
        <f>IFERROR(tbl_Tasks_Clean[[#This Row],[Cost_Variance]]/tbl_Tasks_Clean[[#This Row],[Planned_Cost]],0)</f>
        <v>0.3412</v>
      </c>
      <c r="W56" t="str">
        <f>IF(AND(tbl_Tasks_Clean[[#This Row],[Status]]="Completed",tbl_Tasks_Clean[[#This Row],[Delay_Days]]&lt;=0),"On Time",IF(AND(tbl_Tasks_Clean[[#This Row],[Status]]="Completed",tbl_Tasks_Clean[[#This Row],[Delay_Days]]&gt;0),"Late","N/A"))</f>
        <v>On Time</v>
      </c>
      <c r="X56" s="29" t="str" cm="1">
        <f t="array" ref="X56">_xlfn.IFS(tbl_Tasks_Clean[[#This Row],[Planned_Duration_Days]]&lt;=7,"Short (&lt;=7 days)",tbl_Tasks_Clean[[#This Row],[Planned_Duration_Days]]&lt;=20,"Medium (8-20 days)",TRUE,"Long (&gt;20 days)")</f>
        <v>Long (&gt;20 days)</v>
      </c>
      <c r="Y56" s="29" t="str">
        <f>INDEX(Projects!$D:$D,MATCH(tbl_Tasks_Clean[[#This Row],[Project_ID]],Projects!$A:$A,0))</f>
        <v>Nourhan Tarek</v>
      </c>
      <c r="Z56" s="29" t="str">
        <f>IF(tbl_Tasks_Clean[[#This Row],[Delay_Days]]&gt;0,"Delayed by "&amp;TEXT(tbl_Tasks_Clean[[#This Row],[Delay_Days]],"0")&amp;" days",IF(tbl_Tasks_Clean[[#This Row],[Delay_Days]]&lt;0,"Early by "&amp;TEXT(-tbl_Tasks_Clean[[#This Row],[Delay_Days]],"0")&amp;" days","On schedule"))</f>
        <v>Early by 1 days</v>
      </c>
    </row>
    <row r="57" spans="1:26" x14ac:dyDescent="0.3">
      <c r="A57" t="s">
        <v>521</v>
      </c>
      <c r="B57" t="s">
        <v>129</v>
      </c>
      <c r="C57" t="s">
        <v>130</v>
      </c>
      <c r="D57" t="s">
        <v>522</v>
      </c>
      <c r="E57" t="s">
        <v>164</v>
      </c>
      <c r="F57" t="s">
        <v>216</v>
      </c>
      <c r="G57" t="s">
        <v>281</v>
      </c>
      <c r="H57" t="s">
        <v>356</v>
      </c>
      <c r="I57">
        <v>1500</v>
      </c>
      <c r="J57">
        <v>2080</v>
      </c>
      <c r="K57" s="22">
        <v>45442</v>
      </c>
      <c r="L57" s="22">
        <v>45459</v>
      </c>
      <c r="M57" s="22">
        <v>45458</v>
      </c>
      <c r="N57">
        <v>17</v>
      </c>
      <c r="O57">
        <v>-1</v>
      </c>
      <c r="P57" t="s">
        <v>131</v>
      </c>
      <c r="Q57" t="s">
        <v>94</v>
      </c>
      <c r="R57">
        <v>250000</v>
      </c>
      <c r="S57" t="s">
        <v>206</v>
      </c>
      <c r="T57">
        <v>200</v>
      </c>
      <c r="U57" s="29">
        <f>tbl_Tasks_Clean[[#This Row],[Actual_Cost]]-tbl_Tasks_Clean[[#This Row],[Planned_Cost]]</f>
        <v>580</v>
      </c>
      <c r="V57" s="30">
        <f>IFERROR(tbl_Tasks_Clean[[#This Row],[Cost_Variance]]/tbl_Tasks_Clean[[#This Row],[Planned_Cost]],0)</f>
        <v>0.38666666666666666</v>
      </c>
      <c r="W57" t="str">
        <f>IF(AND(tbl_Tasks_Clean[[#This Row],[Status]]="Completed",tbl_Tasks_Clean[[#This Row],[Delay_Days]]&lt;=0),"On Time",IF(AND(tbl_Tasks_Clean[[#This Row],[Status]]="Completed",tbl_Tasks_Clean[[#This Row],[Delay_Days]]&gt;0),"Late","N/A"))</f>
        <v>N/A</v>
      </c>
      <c r="X57" s="29" t="str" cm="1">
        <f t="array" ref="X57">_xlfn.IFS(tbl_Tasks_Clean[[#This Row],[Planned_Duration_Days]]&lt;=7,"Short (&lt;=7 days)",tbl_Tasks_Clean[[#This Row],[Planned_Duration_Days]]&lt;=20,"Medium (8-20 days)",TRUE,"Long (&gt;20 days)")</f>
        <v>Medium (8-20 days)</v>
      </c>
      <c r="Y57" s="29" t="str">
        <f>INDEX(Projects!$D:$D,MATCH(tbl_Tasks_Clean[[#This Row],[Project_ID]],Projects!$A:$A,0))</f>
        <v>Ahmed Nabil</v>
      </c>
      <c r="Z57" s="29" t="str">
        <f>IF(tbl_Tasks_Clean[[#This Row],[Delay_Days]]&gt;0,"Delayed by "&amp;TEXT(tbl_Tasks_Clean[[#This Row],[Delay_Days]],"0")&amp;" days",IF(tbl_Tasks_Clean[[#This Row],[Delay_Days]]&lt;0,"Early by "&amp;TEXT(-tbl_Tasks_Clean[[#This Row],[Delay_Days]],"0")&amp;" days","On schedule"))</f>
        <v>Early by 1 days</v>
      </c>
    </row>
    <row r="58" spans="1:26" x14ac:dyDescent="0.3">
      <c r="A58" t="s">
        <v>525</v>
      </c>
      <c r="B58" t="s">
        <v>91</v>
      </c>
      <c r="C58" t="s">
        <v>92</v>
      </c>
      <c r="D58" t="s">
        <v>526</v>
      </c>
      <c r="E58" t="s">
        <v>197</v>
      </c>
      <c r="F58" t="s">
        <v>169</v>
      </c>
      <c r="G58" t="s">
        <v>350</v>
      </c>
      <c r="H58" t="s">
        <v>319</v>
      </c>
      <c r="I58">
        <v>3000</v>
      </c>
      <c r="J58">
        <v>647</v>
      </c>
      <c r="K58" s="22">
        <v>45431</v>
      </c>
      <c r="L58" s="22">
        <v>45453</v>
      </c>
      <c r="M58" s="22"/>
      <c r="N58">
        <v>22</v>
      </c>
      <c r="O58">
        <v>0</v>
      </c>
      <c r="P58" t="s">
        <v>93</v>
      </c>
      <c r="Q58" t="s">
        <v>94</v>
      </c>
      <c r="R58">
        <v>100000</v>
      </c>
      <c r="S58" t="s">
        <v>164</v>
      </c>
      <c r="T58">
        <v>200</v>
      </c>
      <c r="U58" s="29">
        <f>tbl_Tasks_Clean[[#This Row],[Actual_Cost]]-tbl_Tasks_Clean[[#This Row],[Planned_Cost]]</f>
        <v>-2353</v>
      </c>
      <c r="V58" s="30">
        <f>IFERROR(tbl_Tasks_Clean[[#This Row],[Cost_Variance]]/tbl_Tasks_Clean[[#This Row],[Planned_Cost]],0)</f>
        <v>-0.78433333333333333</v>
      </c>
      <c r="W58" t="str">
        <f>IF(AND(tbl_Tasks_Clean[[#This Row],[Status]]="Completed",tbl_Tasks_Clean[[#This Row],[Delay_Days]]&lt;=0),"On Time",IF(AND(tbl_Tasks_Clean[[#This Row],[Status]]="Completed",tbl_Tasks_Clean[[#This Row],[Delay_Days]]&gt;0),"Late","N/A"))</f>
        <v>N/A</v>
      </c>
      <c r="X58" s="29" t="str" cm="1">
        <f t="array" ref="X58">_xlfn.IFS(tbl_Tasks_Clean[[#This Row],[Planned_Duration_Days]]&lt;=7,"Short (&lt;=7 days)",tbl_Tasks_Clean[[#This Row],[Planned_Duration_Days]]&lt;=20,"Medium (8-20 days)",TRUE,"Long (&gt;20 days)")</f>
        <v>Long (&gt;20 days)</v>
      </c>
      <c r="Y58" s="29" t="str">
        <f>INDEX(Projects!$D:$D,MATCH(tbl_Tasks_Clean[[#This Row],[Project_ID]],Projects!$A:$A,0))</f>
        <v>Ahmed Nabil</v>
      </c>
      <c r="Z58" s="29" t="str">
        <f>IF(tbl_Tasks_Clean[[#This Row],[Delay_Days]]&gt;0,"Delayed by "&amp;TEXT(tbl_Tasks_Clean[[#This Row],[Delay_Days]],"0")&amp;" days",IF(tbl_Tasks_Clean[[#This Row],[Delay_Days]]&lt;0,"Early by "&amp;TEXT(-tbl_Tasks_Clean[[#This Row],[Delay_Days]],"0")&amp;" days","On schedule"))</f>
        <v>On schedule</v>
      </c>
    </row>
    <row r="59" spans="1:26" x14ac:dyDescent="0.3">
      <c r="A59" t="s">
        <v>529</v>
      </c>
      <c r="B59" t="s">
        <v>126</v>
      </c>
      <c r="C59" t="s">
        <v>127</v>
      </c>
      <c r="D59" t="s">
        <v>355</v>
      </c>
      <c r="E59" t="s">
        <v>164</v>
      </c>
      <c r="F59" t="s">
        <v>205</v>
      </c>
      <c r="G59" t="s">
        <v>250</v>
      </c>
      <c r="H59" t="s">
        <v>314</v>
      </c>
      <c r="I59">
        <v>8000</v>
      </c>
      <c r="J59">
        <v>9484</v>
      </c>
      <c r="K59" s="22">
        <v>45428</v>
      </c>
      <c r="L59" s="22">
        <v>45436</v>
      </c>
      <c r="M59" s="22">
        <v>45438</v>
      </c>
      <c r="N59">
        <v>8</v>
      </c>
      <c r="O59">
        <v>2</v>
      </c>
      <c r="P59" t="s">
        <v>128</v>
      </c>
      <c r="Q59" t="s">
        <v>94</v>
      </c>
      <c r="R59">
        <v>200000</v>
      </c>
      <c r="S59" t="s">
        <v>206</v>
      </c>
      <c r="T59">
        <v>150</v>
      </c>
      <c r="U59" s="29">
        <f>tbl_Tasks_Clean[[#This Row],[Actual_Cost]]-tbl_Tasks_Clean[[#This Row],[Planned_Cost]]</f>
        <v>1484</v>
      </c>
      <c r="V59" s="30">
        <f>IFERROR(tbl_Tasks_Clean[[#This Row],[Cost_Variance]]/tbl_Tasks_Clean[[#This Row],[Planned_Cost]],0)</f>
        <v>0.1855</v>
      </c>
      <c r="W59" t="str">
        <f>IF(AND(tbl_Tasks_Clean[[#This Row],[Status]]="Completed",tbl_Tasks_Clean[[#This Row],[Delay_Days]]&lt;=0),"On Time",IF(AND(tbl_Tasks_Clean[[#This Row],[Status]]="Completed",tbl_Tasks_Clean[[#This Row],[Delay_Days]]&gt;0),"Late","N/A"))</f>
        <v>Late</v>
      </c>
      <c r="X59" s="29" t="str" cm="1">
        <f t="array" ref="X59">_xlfn.IFS(tbl_Tasks_Clean[[#This Row],[Planned_Duration_Days]]&lt;=7,"Short (&lt;=7 days)",tbl_Tasks_Clean[[#This Row],[Planned_Duration_Days]]&lt;=20,"Medium (8-20 days)",TRUE,"Long (&gt;20 days)")</f>
        <v>Medium (8-20 days)</v>
      </c>
      <c r="Y59" s="29" t="str">
        <f>INDEX(Projects!$D:$D,MATCH(tbl_Tasks_Clean[[#This Row],[Project_ID]],Projects!$A:$A,0))</f>
        <v>Ahmed Nabil</v>
      </c>
      <c r="Z59" s="29" t="str">
        <f>IF(tbl_Tasks_Clean[[#This Row],[Delay_Days]]&gt;0,"Delayed by "&amp;TEXT(tbl_Tasks_Clean[[#This Row],[Delay_Days]],"0")&amp;" days",IF(tbl_Tasks_Clean[[#This Row],[Delay_Days]]&lt;0,"Early by "&amp;TEXT(-tbl_Tasks_Clean[[#This Row],[Delay_Days]],"0")&amp;" days","On schedule"))</f>
        <v>Delayed by 2 days</v>
      </c>
    </row>
    <row r="60" spans="1:26" x14ac:dyDescent="0.3">
      <c r="A60" t="s">
        <v>531</v>
      </c>
      <c r="B60" t="s">
        <v>136</v>
      </c>
      <c r="C60" t="s">
        <v>137</v>
      </c>
      <c r="D60" t="s">
        <v>532</v>
      </c>
      <c r="E60" t="s">
        <v>206</v>
      </c>
      <c r="F60" t="s">
        <v>224</v>
      </c>
      <c r="G60" t="s">
        <v>250</v>
      </c>
      <c r="H60" t="s">
        <v>314</v>
      </c>
      <c r="I60">
        <v>4000</v>
      </c>
      <c r="J60">
        <v>4446</v>
      </c>
      <c r="K60" s="22">
        <v>45399</v>
      </c>
      <c r="L60" s="22">
        <v>45422</v>
      </c>
      <c r="M60" s="22">
        <v>45422</v>
      </c>
      <c r="N60">
        <v>23</v>
      </c>
      <c r="O60">
        <v>0</v>
      </c>
      <c r="P60" t="s">
        <v>138</v>
      </c>
      <c r="Q60" t="s">
        <v>94</v>
      </c>
      <c r="R60">
        <v>300000</v>
      </c>
      <c r="S60" t="s">
        <v>219</v>
      </c>
      <c r="T60">
        <v>200</v>
      </c>
      <c r="U60" s="29">
        <f>tbl_Tasks_Clean[[#This Row],[Actual_Cost]]-tbl_Tasks_Clean[[#This Row],[Planned_Cost]]</f>
        <v>446</v>
      </c>
      <c r="V60" s="30">
        <f>IFERROR(tbl_Tasks_Clean[[#This Row],[Cost_Variance]]/tbl_Tasks_Clean[[#This Row],[Planned_Cost]],0)</f>
        <v>0.1115</v>
      </c>
      <c r="W60" t="str">
        <f>IF(AND(tbl_Tasks_Clean[[#This Row],[Status]]="Completed",tbl_Tasks_Clean[[#This Row],[Delay_Days]]&lt;=0),"On Time",IF(AND(tbl_Tasks_Clean[[#This Row],[Status]]="Completed",tbl_Tasks_Clean[[#This Row],[Delay_Days]]&gt;0),"Late","N/A"))</f>
        <v>On Time</v>
      </c>
      <c r="X60" s="29" t="str" cm="1">
        <f t="array" ref="X60">_xlfn.IFS(tbl_Tasks_Clean[[#This Row],[Planned_Duration_Days]]&lt;=7,"Short (&lt;=7 days)",tbl_Tasks_Clean[[#This Row],[Planned_Duration_Days]]&lt;=20,"Medium (8-20 days)",TRUE,"Long (&gt;20 days)")</f>
        <v>Long (&gt;20 days)</v>
      </c>
      <c r="Y60" s="29" t="str">
        <f>INDEX(Projects!$D:$D,MATCH(tbl_Tasks_Clean[[#This Row],[Project_ID]],Projects!$A:$A,0))</f>
        <v>Ahmed Nabil</v>
      </c>
      <c r="Z60" s="29" t="str">
        <f>IF(tbl_Tasks_Clean[[#This Row],[Delay_Days]]&gt;0,"Delayed by "&amp;TEXT(tbl_Tasks_Clean[[#This Row],[Delay_Days]],"0")&amp;" days",IF(tbl_Tasks_Clean[[#This Row],[Delay_Days]]&lt;0,"Early by "&amp;TEXT(-tbl_Tasks_Clean[[#This Row],[Delay_Days]],"0")&amp;" days","On schedule"))</f>
        <v>On schedule</v>
      </c>
    </row>
    <row r="61" spans="1:26" x14ac:dyDescent="0.3">
      <c r="A61" t="s">
        <v>536</v>
      </c>
      <c r="B61" t="s">
        <v>136</v>
      </c>
      <c r="C61" t="s">
        <v>137</v>
      </c>
      <c r="D61" t="s">
        <v>537</v>
      </c>
      <c r="E61" t="s">
        <v>177</v>
      </c>
      <c r="F61" t="s">
        <v>224</v>
      </c>
      <c r="G61" t="s">
        <v>250</v>
      </c>
      <c r="H61" t="s">
        <v>287</v>
      </c>
      <c r="I61">
        <v>8000</v>
      </c>
      <c r="J61">
        <v>2966</v>
      </c>
      <c r="K61" s="22">
        <v>45320</v>
      </c>
      <c r="L61" s="22">
        <v>45325</v>
      </c>
      <c r="M61" s="22"/>
      <c r="N61">
        <v>5</v>
      </c>
      <c r="O61">
        <v>0</v>
      </c>
      <c r="P61" t="s">
        <v>138</v>
      </c>
      <c r="Q61" t="s">
        <v>94</v>
      </c>
      <c r="R61">
        <v>300000</v>
      </c>
      <c r="S61" t="s">
        <v>219</v>
      </c>
      <c r="T61">
        <v>200</v>
      </c>
      <c r="U61" s="29">
        <f>tbl_Tasks_Clean[[#This Row],[Actual_Cost]]-tbl_Tasks_Clean[[#This Row],[Planned_Cost]]</f>
        <v>-5034</v>
      </c>
      <c r="V61" s="30">
        <f>IFERROR(tbl_Tasks_Clean[[#This Row],[Cost_Variance]]/tbl_Tasks_Clean[[#This Row],[Planned_Cost]],0)</f>
        <v>-0.62924999999999998</v>
      </c>
      <c r="W61" t="str">
        <f>IF(AND(tbl_Tasks_Clean[[#This Row],[Status]]="Completed",tbl_Tasks_Clean[[#This Row],[Delay_Days]]&lt;=0),"On Time",IF(AND(tbl_Tasks_Clean[[#This Row],[Status]]="Completed",tbl_Tasks_Clean[[#This Row],[Delay_Days]]&gt;0),"Late","N/A"))</f>
        <v>N/A</v>
      </c>
      <c r="X61" s="29" t="str" cm="1">
        <f t="array" ref="X61">_xlfn.IFS(tbl_Tasks_Clean[[#This Row],[Planned_Duration_Days]]&lt;=7,"Short (&lt;=7 days)",tbl_Tasks_Clean[[#This Row],[Planned_Duration_Days]]&lt;=20,"Medium (8-20 days)",TRUE,"Long (&gt;20 days)")</f>
        <v>Short (&lt;=7 days)</v>
      </c>
      <c r="Y61" s="29" t="str">
        <f>INDEX(Projects!$D:$D,MATCH(tbl_Tasks_Clean[[#This Row],[Project_ID]],Projects!$A:$A,0))</f>
        <v>Ahmed Nabil</v>
      </c>
      <c r="Z61" s="29" t="str">
        <f>IF(tbl_Tasks_Clean[[#This Row],[Delay_Days]]&gt;0,"Delayed by "&amp;TEXT(tbl_Tasks_Clean[[#This Row],[Delay_Days]],"0")&amp;" days",IF(tbl_Tasks_Clean[[#This Row],[Delay_Days]]&lt;0,"Early by "&amp;TEXT(-tbl_Tasks_Clean[[#This Row],[Delay_Days]],"0")&amp;" days","On schedule"))</f>
        <v>On schedule</v>
      </c>
    </row>
    <row r="62" spans="1:26" x14ac:dyDescent="0.3">
      <c r="A62" t="s">
        <v>541</v>
      </c>
      <c r="B62" t="s">
        <v>96</v>
      </c>
      <c r="C62" t="s">
        <v>97</v>
      </c>
      <c r="D62" t="s">
        <v>906</v>
      </c>
      <c r="E62" t="s">
        <v>187</v>
      </c>
      <c r="F62" t="s">
        <v>158</v>
      </c>
      <c r="G62" t="s">
        <v>281</v>
      </c>
      <c r="H62" t="s">
        <v>314</v>
      </c>
      <c r="I62">
        <v>1500</v>
      </c>
      <c r="J62">
        <v>1412</v>
      </c>
      <c r="K62" s="22">
        <v>45520</v>
      </c>
      <c r="L62" s="22">
        <v>45547</v>
      </c>
      <c r="M62" s="22">
        <v>45548</v>
      </c>
      <c r="N62">
        <v>27</v>
      </c>
      <c r="O62">
        <v>1</v>
      </c>
      <c r="P62" t="s">
        <v>98</v>
      </c>
      <c r="Q62" t="s">
        <v>99</v>
      </c>
      <c r="R62">
        <v>75000</v>
      </c>
      <c r="S62" t="s">
        <v>150</v>
      </c>
      <c r="T62">
        <v>180</v>
      </c>
      <c r="U62" s="29">
        <f>tbl_Tasks_Clean[[#This Row],[Actual_Cost]]-tbl_Tasks_Clean[[#This Row],[Planned_Cost]]</f>
        <v>-88</v>
      </c>
      <c r="V62" s="30">
        <f>IFERROR(tbl_Tasks_Clean[[#This Row],[Cost_Variance]]/tbl_Tasks_Clean[[#This Row],[Planned_Cost]],0)</f>
        <v>-5.8666666666666666E-2</v>
      </c>
      <c r="W62" t="str">
        <f>IF(AND(tbl_Tasks_Clean[[#This Row],[Status]]="Completed",tbl_Tasks_Clean[[#This Row],[Delay_Days]]&lt;=0),"On Time",IF(AND(tbl_Tasks_Clean[[#This Row],[Status]]="Completed",tbl_Tasks_Clean[[#This Row],[Delay_Days]]&gt;0),"Late","N/A"))</f>
        <v>Late</v>
      </c>
      <c r="X62" s="29" t="str" cm="1">
        <f t="array" ref="X62">_xlfn.IFS(tbl_Tasks_Clean[[#This Row],[Planned_Duration_Days]]&lt;=7,"Short (&lt;=7 days)",tbl_Tasks_Clean[[#This Row],[Planned_Duration_Days]]&lt;=20,"Medium (8-20 days)",TRUE,"Long (&gt;20 days)")</f>
        <v>Long (&gt;20 days)</v>
      </c>
      <c r="Y62" s="29" t="str">
        <f>INDEX(Projects!$D:$D,MATCH(tbl_Tasks_Clean[[#This Row],[Project_ID]],Projects!$A:$A,0))</f>
        <v>Laila Samir</v>
      </c>
      <c r="Z62" s="29" t="str">
        <f>IF(tbl_Tasks_Clean[[#This Row],[Delay_Days]]&gt;0,"Delayed by "&amp;TEXT(tbl_Tasks_Clean[[#This Row],[Delay_Days]],"0")&amp;" days",IF(tbl_Tasks_Clean[[#This Row],[Delay_Days]]&lt;0,"Early by "&amp;TEXT(-tbl_Tasks_Clean[[#This Row],[Delay_Days]],"0")&amp;" days","On schedule"))</f>
        <v>Delayed by 1 days</v>
      </c>
    </row>
    <row r="63" spans="1:26" x14ac:dyDescent="0.3">
      <c r="A63" t="s">
        <v>547</v>
      </c>
      <c r="B63" t="s">
        <v>136</v>
      </c>
      <c r="C63" t="s">
        <v>137</v>
      </c>
      <c r="D63" t="s">
        <v>548</v>
      </c>
      <c r="E63" t="s">
        <v>187</v>
      </c>
      <c r="F63" t="s">
        <v>172</v>
      </c>
      <c r="G63" t="s">
        <v>281</v>
      </c>
      <c r="H63" t="s">
        <v>269</v>
      </c>
      <c r="I63">
        <v>1500</v>
      </c>
      <c r="J63">
        <v>1497</v>
      </c>
      <c r="K63" s="22">
        <v>45453</v>
      </c>
      <c r="L63" s="22">
        <v>45481</v>
      </c>
      <c r="M63" s="22">
        <v>45496</v>
      </c>
      <c r="N63">
        <v>28</v>
      </c>
      <c r="O63">
        <v>15</v>
      </c>
      <c r="P63" t="s">
        <v>138</v>
      </c>
      <c r="Q63" t="s">
        <v>94</v>
      </c>
      <c r="R63">
        <v>300000</v>
      </c>
      <c r="S63" t="s">
        <v>164</v>
      </c>
      <c r="T63">
        <v>200</v>
      </c>
      <c r="U63" s="29">
        <f>tbl_Tasks_Clean[[#This Row],[Actual_Cost]]-tbl_Tasks_Clean[[#This Row],[Planned_Cost]]</f>
        <v>-3</v>
      </c>
      <c r="V63" s="30">
        <f>IFERROR(tbl_Tasks_Clean[[#This Row],[Cost_Variance]]/tbl_Tasks_Clean[[#This Row],[Planned_Cost]],0)</f>
        <v>-2E-3</v>
      </c>
      <c r="W63" t="str">
        <f>IF(AND(tbl_Tasks_Clean[[#This Row],[Status]]="Completed",tbl_Tasks_Clean[[#This Row],[Delay_Days]]&lt;=0),"On Time",IF(AND(tbl_Tasks_Clean[[#This Row],[Status]]="Completed",tbl_Tasks_Clean[[#This Row],[Delay_Days]]&gt;0),"Late","N/A"))</f>
        <v>N/A</v>
      </c>
      <c r="X63" s="29" t="str" cm="1">
        <f t="array" ref="X63">_xlfn.IFS(tbl_Tasks_Clean[[#This Row],[Planned_Duration_Days]]&lt;=7,"Short (&lt;=7 days)",tbl_Tasks_Clean[[#This Row],[Planned_Duration_Days]]&lt;=20,"Medium (8-20 days)",TRUE,"Long (&gt;20 days)")</f>
        <v>Long (&gt;20 days)</v>
      </c>
      <c r="Y63" s="29" t="str">
        <f>INDEX(Projects!$D:$D,MATCH(tbl_Tasks_Clean[[#This Row],[Project_ID]],Projects!$A:$A,0))</f>
        <v>Ahmed Nabil</v>
      </c>
      <c r="Z63" s="29" t="str">
        <f>IF(tbl_Tasks_Clean[[#This Row],[Delay_Days]]&gt;0,"Delayed by "&amp;TEXT(tbl_Tasks_Clean[[#This Row],[Delay_Days]],"0")&amp;" days",IF(tbl_Tasks_Clean[[#This Row],[Delay_Days]]&lt;0,"Early by "&amp;TEXT(-tbl_Tasks_Clean[[#This Row],[Delay_Days]],"0")&amp;" days","On schedule"))</f>
        <v>Delayed by 15 days</v>
      </c>
    </row>
    <row r="64" spans="1:26" x14ac:dyDescent="0.3">
      <c r="A64" t="s">
        <v>552</v>
      </c>
      <c r="B64" t="s">
        <v>140</v>
      </c>
      <c r="C64" t="s">
        <v>141</v>
      </c>
      <c r="D64" t="s">
        <v>553</v>
      </c>
      <c r="E64" t="s">
        <v>177</v>
      </c>
      <c r="F64" t="s">
        <v>218</v>
      </c>
      <c r="G64" t="s">
        <v>281</v>
      </c>
      <c r="H64" t="s">
        <v>356</v>
      </c>
      <c r="I64">
        <v>3000</v>
      </c>
      <c r="J64">
        <v>2936</v>
      </c>
      <c r="K64" s="22">
        <v>45434</v>
      </c>
      <c r="L64" s="22">
        <v>45461</v>
      </c>
      <c r="M64" s="22">
        <v>45462</v>
      </c>
      <c r="N64">
        <v>27</v>
      </c>
      <c r="O64">
        <v>1</v>
      </c>
      <c r="P64" t="s">
        <v>111</v>
      </c>
      <c r="Q64" t="s">
        <v>116</v>
      </c>
      <c r="R64">
        <v>75000</v>
      </c>
      <c r="S64" t="s">
        <v>219</v>
      </c>
      <c r="T64">
        <v>250</v>
      </c>
      <c r="U64" s="29">
        <f>tbl_Tasks_Clean[[#This Row],[Actual_Cost]]-tbl_Tasks_Clean[[#This Row],[Planned_Cost]]</f>
        <v>-64</v>
      </c>
      <c r="V64" s="30">
        <f>IFERROR(tbl_Tasks_Clean[[#This Row],[Cost_Variance]]/tbl_Tasks_Clean[[#This Row],[Planned_Cost]],0)</f>
        <v>-2.1333333333333333E-2</v>
      </c>
      <c r="W64" t="str">
        <f>IF(AND(tbl_Tasks_Clean[[#This Row],[Status]]="Completed",tbl_Tasks_Clean[[#This Row],[Delay_Days]]&lt;=0),"On Time",IF(AND(tbl_Tasks_Clean[[#This Row],[Status]]="Completed",tbl_Tasks_Clean[[#This Row],[Delay_Days]]&gt;0),"Late","N/A"))</f>
        <v>N/A</v>
      </c>
      <c r="X64" s="29" t="str" cm="1">
        <f t="array" ref="X64">_xlfn.IFS(tbl_Tasks_Clean[[#This Row],[Planned_Duration_Days]]&lt;=7,"Short (&lt;=7 days)",tbl_Tasks_Clean[[#This Row],[Planned_Duration_Days]]&lt;=20,"Medium (8-20 days)",TRUE,"Long (&gt;20 days)")</f>
        <v>Long (&gt;20 days)</v>
      </c>
      <c r="Y64" s="29" t="str">
        <f>INDEX(Projects!$D:$D,MATCH(tbl_Tasks_Clean[[#This Row],[Project_ID]],Projects!$A:$A,0))</f>
        <v>Nourhan Tarek</v>
      </c>
      <c r="Z64" s="29" t="str">
        <f>IF(tbl_Tasks_Clean[[#This Row],[Delay_Days]]&gt;0,"Delayed by "&amp;TEXT(tbl_Tasks_Clean[[#This Row],[Delay_Days]],"0")&amp;" days",IF(tbl_Tasks_Clean[[#This Row],[Delay_Days]]&lt;0,"Early by "&amp;TEXT(-tbl_Tasks_Clean[[#This Row],[Delay_Days]],"0")&amp;" days","On schedule"))</f>
        <v>Delayed by 1 days</v>
      </c>
    </row>
    <row r="65" spans="1:26" x14ac:dyDescent="0.3">
      <c r="A65" t="s">
        <v>557</v>
      </c>
      <c r="B65" t="s">
        <v>133</v>
      </c>
      <c r="C65" t="s">
        <v>134</v>
      </c>
      <c r="D65" t="s">
        <v>1441</v>
      </c>
      <c r="E65" t="s">
        <v>1435</v>
      </c>
      <c r="F65" t="s">
        <v>155</v>
      </c>
      <c r="G65" t="s">
        <v>250</v>
      </c>
      <c r="H65" t="s">
        <v>314</v>
      </c>
      <c r="I65">
        <v>2000</v>
      </c>
      <c r="J65">
        <v>2777</v>
      </c>
      <c r="K65" s="22"/>
      <c r="L65" s="22"/>
      <c r="M65" s="22"/>
      <c r="O65">
        <v>0</v>
      </c>
      <c r="P65" t="s">
        <v>111</v>
      </c>
      <c r="Q65" t="s">
        <v>116</v>
      </c>
      <c r="R65">
        <v>200000</v>
      </c>
      <c r="S65" t="s">
        <v>150</v>
      </c>
      <c r="T65">
        <v>280</v>
      </c>
      <c r="U65" s="29">
        <f>tbl_Tasks_Clean[[#This Row],[Actual_Cost]]-tbl_Tasks_Clean[[#This Row],[Planned_Cost]]</f>
        <v>777</v>
      </c>
      <c r="V65" s="30">
        <f>IFERROR(tbl_Tasks_Clean[[#This Row],[Cost_Variance]]/tbl_Tasks_Clean[[#This Row],[Planned_Cost]],0)</f>
        <v>0.38850000000000001</v>
      </c>
      <c r="W65" t="str">
        <f>IF(AND(tbl_Tasks_Clean[[#This Row],[Status]]="Completed",tbl_Tasks_Clean[[#This Row],[Delay_Days]]&lt;=0),"On Time",IF(AND(tbl_Tasks_Clean[[#This Row],[Status]]="Completed",tbl_Tasks_Clean[[#This Row],[Delay_Days]]&gt;0),"Late","N/A"))</f>
        <v>On Time</v>
      </c>
      <c r="X65" s="29" t="str" cm="1">
        <f t="array" ref="X65">_xlfn.IFS(tbl_Tasks_Clean[[#This Row],[Planned_Duration_Days]]&lt;=7,"Short (&lt;=7 days)",tbl_Tasks_Clean[[#This Row],[Planned_Duration_Days]]&lt;=20,"Medium (8-20 days)",TRUE,"Long (&gt;20 days)")</f>
        <v>Short (&lt;=7 days)</v>
      </c>
      <c r="Y65" s="29" t="str">
        <f>INDEX(Projects!$D:$D,MATCH(tbl_Tasks_Clean[[#This Row],[Project_ID]],Projects!$A:$A,0))</f>
        <v>Nourhan Tarek</v>
      </c>
      <c r="Z65" s="29" t="str">
        <f>IF(tbl_Tasks_Clean[[#This Row],[Delay_Days]]&gt;0,"Delayed by "&amp;TEXT(tbl_Tasks_Clean[[#This Row],[Delay_Days]],"0")&amp;" days",IF(tbl_Tasks_Clean[[#This Row],[Delay_Days]]&lt;0,"Early by "&amp;TEXT(-tbl_Tasks_Clean[[#This Row],[Delay_Days]],"0")&amp;" days","On schedule"))</f>
        <v>On schedule</v>
      </c>
    </row>
    <row r="66" spans="1:26" x14ac:dyDescent="0.3">
      <c r="A66" t="s">
        <v>560</v>
      </c>
      <c r="B66" t="s">
        <v>81</v>
      </c>
      <c r="C66" t="s">
        <v>82</v>
      </c>
      <c r="D66" t="s">
        <v>561</v>
      </c>
      <c r="E66" t="s">
        <v>197</v>
      </c>
      <c r="F66" t="s">
        <v>163</v>
      </c>
      <c r="G66" t="s">
        <v>350</v>
      </c>
      <c r="H66" t="s">
        <v>269</v>
      </c>
      <c r="I66">
        <v>5000</v>
      </c>
      <c r="J66">
        <v>6659</v>
      </c>
      <c r="K66" s="22">
        <v>45579</v>
      </c>
      <c r="L66" s="22">
        <v>45597</v>
      </c>
      <c r="M66" s="22">
        <v>45600</v>
      </c>
      <c r="N66">
        <v>18</v>
      </c>
      <c r="O66">
        <v>3</v>
      </c>
      <c r="P66" t="s">
        <v>83</v>
      </c>
      <c r="Q66" t="s">
        <v>84</v>
      </c>
      <c r="R66">
        <v>75000</v>
      </c>
      <c r="S66" t="s">
        <v>164</v>
      </c>
      <c r="T66">
        <v>180</v>
      </c>
      <c r="U66" s="29">
        <f>tbl_Tasks_Clean[[#This Row],[Actual_Cost]]-tbl_Tasks_Clean[[#This Row],[Planned_Cost]]</f>
        <v>1659</v>
      </c>
      <c r="V66" s="30">
        <f>IFERROR(tbl_Tasks_Clean[[#This Row],[Cost_Variance]]/tbl_Tasks_Clean[[#This Row],[Planned_Cost]],0)</f>
        <v>0.33179999999999998</v>
      </c>
      <c r="W66" t="str">
        <f>IF(AND(tbl_Tasks_Clean[[#This Row],[Status]]="Completed",tbl_Tasks_Clean[[#This Row],[Delay_Days]]&lt;=0),"On Time",IF(AND(tbl_Tasks_Clean[[#This Row],[Status]]="Completed",tbl_Tasks_Clean[[#This Row],[Delay_Days]]&gt;0),"Late","N/A"))</f>
        <v>N/A</v>
      </c>
      <c r="X66" s="29" t="str" cm="1">
        <f t="array" ref="X66">_xlfn.IFS(tbl_Tasks_Clean[[#This Row],[Planned_Duration_Days]]&lt;=7,"Short (&lt;=7 days)",tbl_Tasks_Clean[[#This Row],[Planned_Duration_Days]]&lt;=20,"Medium (8-20 days)",TRUE,"Long (&gt;20 days)")</f>
        <v>Medium (8-20 days)</v>
      </c>
      <c r="Y66" s="29" t="str">
        <f>INDEX(Projects!$D:$D,MATCH(tbl_Tasks_Clean[[#This Row],[Project_ID]],Projects!$A:$A,0))</f>
        <v>Mona Farid</v>
      </c>
      <c r="Z66" s="29" t="str">
        <f>IF(tbl_Tasks_Clean[[#This Row],[Delay_Days]]&gt;0,"Delayed by "&amp;TEXT(tbl_Tasks_Clean[[#This Row],[Delay_Days]],"0")&amp;" days",IF(tbl_Tasks_Clean[[#This Row],[Delay_Days]]&lt;0,"Early by "&amp;TEXT(-tbl_Tasks_Clean[[#This Row],[Delay_Days]],"0")&amp;" days","On schedule"))</f>
        <v>Delayed by 3 days</v>
      </c>
    </row>
    <row r="67" spans="1:26" x14ac:dyDescent="0.3">
      <c r="A67" t="s">
        <v>565</v>
      </c>
      <c r="B67" t="s">
        <v>140</v>
      </c>
      <c r="C67" t="s">
        <v>141</v>
      </c>
      <c r="D67" t="s">
        <v>566</v>
      </c>
      <c r="E67" t="s">
        <v>177</v>
      </c>
      <c r="F67" t="s">
        <v>155</v>
      </c>
      <c r="G67" t="s">
        <v>250</v>
      </c>
      <c r="H67" t="s">
        <v>287</v>
      </c>
      <c r="I67">
        <v>1500</v>
      </c>
      <c r="J67">
        <v>408</v>
      </c>
      <c r="K67" s="22">
        <v>45427</v>
      </c>
      <c r="L67" s="22">
        <v>45454</v>
      </c>
      <c r="M67" s="22"/>
      <c r="N67">
        <v>27</v>
      </c>
      <c r="O67">
        <v>0</v>
      </c>
      <c r="P67" t="s">
        <v>111</v>
      </c>
      <c r="Q67" t="s">
        <v>116</v>
      </c>
      <c r="R67">
        <v>75000</v>
      </c>
      <c r="S67" t="s">
        <v>150</v>
      </c>
      <c r="T67">
        <v>280</v>
      </c>
      <c r="U67" s="29">
        <f>tbl_Tasks_Clean[[#This Row],[Actual_Cost]]-tbl_Tasks_Clean[[#This Row],[Planned_Cost]]</f>
        <v>-1092</v>
      </c>
      <c r="V67" s="30">
        <f>IFERROR(tbl_Tasks_Clean[[#This Row],[Cost_Variance]]/tbl_Tasks_Clean[[#This Row],[Planned_Cost]],0)</f>
        <v>-0.72799999999999998</v>
      </c>
      <c r="W67" t="str">
        <f>IF(AND(tbl_Tasks_Clean[[#This Row],[Status]]="Completed",tbl_Tasks_Clean[[#This Row],[Delay_Days]]&lt;=0),"On Time",IF(AND(tbl_Tasks_Clean[[#This Row],[Status]]="Completed",tbl_Tasks_Clean[[#This Row],[Delay_Days]]&gt;0),"Late","N/A"))</f>
        <v>N/A</v>
      </c>
      <c r="X67" s="29" t="str" cm="1">
        <f t="array" ref="X67">_xlfn.IFS(tbl_Tasks_Clean[[#This Row],[Planned_Duration_Days]]&lt;=7,"Short (&lt;=7 days)",tbl_Tasks_Clean[[#This Row],[Planned_Duration_Days]]&lt;=20,"Medium (8-20 days)",TRUE,"Long (&gt;20 days)")</f>
        <v>Long (&gt;20 days)</v>
      </c>
      <c r="Y67" s="29" t="str">
        <f>INDEX(Projects!$D:$D,MATCH(tbl_Tasks_Clean[[#This Row],[Project_ID]],Projects!$A:$A,0))</f>
        <v>Nourhan Tarek</v>
      </c>
      <c r="Z67" s="29" t="str">
        <f>IF(tbl_Tasks_Clean[[#This Row],[Delay_Days]]&gt;0,"Delayed by "&amp;TEXT(tbl_Tasks_Clean[[#This Row],[Delay_Days]],"0")&amp;" days",IF(tbl_Tasks_Clean[[#This Row],[Delay_Days]]&lt;0,"Early by "&amp;TEXT(-tbl_Tasks_Clean[[#This Row],[Delay_Days]],"0")&amp;" days","On schedule"))</f>
        <v>On schedule</v>
      </c>
    </row>
    <row r="68" spans="1:26" x14ac:dyDescent="0.3">
      <c r="A68" t="s">
        <v>569</v>
      </c>
      <c r="B68" t="s">
        <v>81</v>
      </c>
      <c r="C68" t="s">
        <v>82</v>
      </c>
      <c r="D68" t="s">
        <v>243</v>
      </c>
      <c r="E68" t="s">
        <v>187</v>
      </c>
      <c r="F68" t="s">
        <v>1439</v>
      </c>
      <c r="G68" t="s">
        <v>250</v>
      </c>
      <c r="H68" t="s">
        <v>319</v>
      </c>
      <c r="I68">
        <v>3000</v>
      </c>
      <c r="J68">
        <v>992</v>
      </c>
      <c r="K68" s="22">
        <v>45494</v>
      </c>
      <c r="L68" s="22">
        <v>45503</v>
      </c>
      <c r="M68" s="22"/>
      <c r="N68">
        <v>9</v>
      </c>
      <c r="O68">
        <v>0</v>
      </c>
      <c r="P68" t="s">
        <v>83</v>
      </c>
      <c r="Q68" t="s">
        <v>84</v>
      </c>
      <c r="R68">
        <v>75000</v>
      </c>
      <c r="U68" s="29">
        <f>tbl_Tasks_Clean[[#This Row],[Actual_Cost]]-tbl_Tasks_Clean[[#This Row],[Planned_Cost]]</f>
        <v>-2008</v>
      </c>
      <c r="V68" s="30">
        <f>IFERROR(tbl_Tasks_Clean[[#This Row],[Cost_Variance]]/tbl_Tasks_Clean[[#This Row],[Planned_Cost]],0)</f>
        <v>-0.66933333333333334</v>
      </c>
      <c r="W68" t="str">
        <f>IF(AND(tbl_Tasks_Clean[[#This Row],[Status]]="Completed",tbl_Tasks_Clean[[#This Row],[Delay_Days]]&lt;=0),"On Time",IF(AND(tbl_Tasks_Clean[[#This Row],[Status]]="Completed",tbl_Tasks_Clean[[#This Row],[Delay_Days]]&gt;0),"Late","N/A"))</f>
        <v>N/A</v>
      </c>
      <c r="X68" s="29" t="str" cm="1">
        <f t="array" ref="X68">_xlfn.IFS(tbl_Tasks_Clean[[#This Row],[Planned_Duration_Days]]&lt;=7,"Short (&lt;=7 days)",tbl_Tasks_Clean[[#This Row],[Planned_Duration_Days]]&lt;=20,"Medium (8-20 days)",TRUE,"Long (&gt;20 days)")</f>
        <v>Medium (8-20 days)</v>
      </c>
      <c r="Y68" s="29" t="str">
        <f>INDEX(Projects!$D:$D,MATCH(tbl_Tasks_Clean[[#This Row],[Project_ID]],Projects!$A:$A,0))</f>
        <v>Mona Farid</v>
      </c>
      <c r="Z68" s="29" t="str">
        <f>IF(tbl_Tasks_Clean[[#This Row],[Delay_Days]]&gt;0,"Delayed by "&amp;TEXT(tbl_Tasks_Clean[[#This Row],[Delay_Days]],"0")&amp;" days",IF(tbl_Tasks_Clean[[#This Row],[Delay_Days]]&lt;0,"Early by "&amp;TEXT(-tbl_Tasks_Clean[[#This Row],[Delay_Days]],"0")&amp;" days","On schedule"))</f>
        <v>On schedule</v>
      </c>
    </row>
    <row r="69" spans="1:26" x14ac:dyDescent="0.3">
      <c r="A69" t="s">
        <v>572</v>
      </c>
      <c r="B69" t="s">
        <v>136</v>
      </c>
      <c r="C69" t="s">
        <v>137</v>
      </c>
      <c r="D69" t="s">
        <v>573</v>
      </c>
      <c r="E69" t="s">
        <v>177</v>
      </c>
      <c r="F69" t="s">
        <v>205</v>
      </c>
      <c r="G69" t="s">
        <v>350</v>
      </c>
      <c r="H69" t="s">
        <v>314</v>
      </c>
      <c r="I69">
        <v>6000</v>
      </c>
      <c r="J69">
        <v>6093</v>
      </c>
      <c r="K69" s="22">
        <v>45320</v>
      </c>
      <c r="L69" s="22">
        <v>45329</v>
      </c>
      <c r="M69" s="22">
        <v>45328</v>
      </c>
      <c r="N69">
        <v>9</v>
      </c>
      <c r="O69">
        <v>-1</v>
      </c>
      <c r="P69" t="s">
        <v>138</v>
      </c>
      <c r="Q69" t="s">
        <v>94</v>
      </c>
      <c r="R69">
        <v>300000</v>
      </c>
      <c r="S69" t="s">
        <v>206</v>
      </c>
      <c r="T69">
        <v>150</v>
      </c>
      <c r="U69" s="29">
        <f>tbl_Tasks_Clean[[#This Row],[Actual_Cost]]-tbl_Tasks_Clean[[#This Row],[Planned_Cost]]</f>
        <v>93</v>
      </c>
      <c r="V69" s="30">
        <f>IFERROR(tbl_Tasks_Clean[[#This Row],[Cost_Variance]]/tbl_Tasks_Clean[[#This Row],[Planned_Cost]],0)</f>
        <v>1.55E-2</v>
      </c>
      <c r="W69" t="str">
        <f>IF(AND(tbl_Tasks_Clean[[#This Row],[Status]]="Completed",tbl_Tasks_Clean[[#This Row],[Delay_Days]]&lt;=0),"On Time",IF(AND(tbl_Tasks_Clean[[#This Row],[Status]]="Completed",tbl_Tasks_Clean[[#This Row],[Delay_Days]]&gt;0),"Late","N/A"))</f>
        <v>On Time</v>
      </c>
      <c r="X69" s="29" t="str" cm="1">
        <f t="array" ref="X69">_xlfn.IFS(tbl_Tasks_Clean[[#This Row],[Planned_Duration_Days]]&lt;=7,"Short (&lt;=7 days)",tbl_Tasks_Clean[[#This Row],[Planned_Duration_Days]]&lt;=20,"Medium (8-20 days)",TRUE,"Long (&gt;20 days)")</f>
        <v>Medium (8-20 days)</v>
      </c>
      <c r="Y69" s="29" t="str">
        <f>INDEX(Projects!$D:$D,MATCH(tbl_Tasks_Clean[[#This Row],[Project_ID]],Projects!$A:$A,0))</f>
        <v>Ahmed Nabil</v>
      </c>
      <c r="Z69" s="29" t="str">
        <f>IF(tbl_Tasks_Clean[[#This Row],[Delay_Days]]&gt;0,"Delayed by "&amp;TEXT(tbl_Tasks_Clean[[#This Row],[Delay_Days]],"0")&amp;" days",IF(tbl_Tasks_Clean[[#This Row],[Delay_Days]]&lt;0,"Early by "&amp;TEXT(-tbl_Tasks_Clean[[#This Row],[Delay_Days]],"0")&amp;" days","On schedule"))</f>
        <v>Early by 1 days</v>
      </c>
    </row>
    <row r="70" spans="1:26" x14ac:dyDescent="0.3">
      <c r="A70" t="s">
        <v>577</v>
      </c>
      <c r="B70" t="s">
        <v>133</v>
      </c>
      <c r="C70" t="s">
        <v>134</v>
      </c>
      <c r="D70" t="s">
        <v>578</v>
      </c>
      <c r="E70" t="s">
        <v>206</v>
      </c>
      <c r="F70" t="s">
        <v>153</v>
      </c>
      <c r="G70" t="s">
        <v>281</v>
      </c>
      <c r="H70" t="s">
        <v>314</v>
      </c>
      <c r="I70">
        <v>1000</v>
      </c>
      <c r="J70">
        <v>1071</v>
      </c>
      <c r="K70" s="22">
        <v>45512</v>
      </c>
      <c r="L70" s="22">
        <v>45519</v>
      </c>
      <c r="M70" s="22">
        <v>45519</v>
      </c>
      <c r="N70">
        <v>7</v>
      </c>
      <c r="O70">
        <v>0</v>
      </c>
      <c r="P70" t="s">
        <v>111</v>
      </c>
      <c r="Q70" t="s">
        <v>116</v>
      </c>
      <c r="R70">
        <v>200000</v>
      </c>
      <c r="S70" t="s">
        <v>150</v>
      </c>
      <c r="T70">
        <v>220</v>
      </c>
      <c r="U70" s="29">
        <f>tbl_Tasks_Clean[[#This Row],[Actual_Cost]]-tbl_Tasks_Clean[[#This Row],[Planned_Cost]]</f>
        <v>71</v>
      </c>
      <c r="V70" s="30">
        <f>IFERROR(tbl_Tasks_Clean[[#This Row],[Cost_Variance]]/tbl_Tasks_Clean[[#This Row],[Planned_Cost]],0)</f>
        <v>7.0999999999999994E-2</v>
      </c>
      <c r="W70" t="str">
        <f>IF(AND(tbl_Tasks_Clean[[#This Row],[Status]]="Completed",tbl_Tasks_Clean[[#This Row],[Delay_Days]]&lt;=0),"On Time",IF(AND(tbl_Tasks_Clean[[#This Row],[Status]]="Completed",tbl_Tasks_Clean[[#This Row],[Delay_Days]]&gt;0),"Late","N/A"))</f>
        <v>On Time</v>
      </c>
      <c r="X70" s="29" t="str" cm="1">
        <f t="array" ref="X70">_xlfn.IFS(tbl_Tasks_Clean[[#This Row],[Planned_Duration_Days]]&lt;=7,"Short (&lt;=7 days)",tbl_Tasks_Clean[[#This Row],[Planned_Duration_Days]]&lt;=20,"Medium (8-20 days)",TRUE,"Long (&gt;20 days)")</f>
        <v>Short (&lt;=7 days)</v>
      </c>
      <c r="Y70" s="29" t="str">
        <f>INDEX(Projects!$D:$D,MATCH(tbl_Tasks_Clean[[#This Row],[Project_ID]],Projects!$A:$A,0))</f>
        <v>Nourhan Tarek</v>
      </c>
      <c r="Z70" s="29" t="str">
        <f>IF(tbl_Tasks_Clean[[#This Row],[Delay_Days]]&gt;0,"Delayed by "&amp;TEXT(tbl_Tasks_Clean[[#This Row],[Delay_Days]],"0")&amp;" days",IF(tbl_Tasks_Clean[[#This Row],[Delay_Days]]&lt;0,"Early by "&amp;TEXT(-tbl_Tasks_Clean[[#This Row],[Delay_Days]],"0")&amp;" days","On schedule"))</f>
        <v>On schedule</v>
      </c>
    </row>
    <row r="71" spans="1:26" x14ac:dyDescent="0.3">
      <c r="A71" t="s">
        <v>581</v>
      </c>
      <c r="B71" t="s">
        <v>126</v>
      </c>
      <c r="C71" t="s">
        <v>127</v>
      </c>
      <c r="D71" t="s">
        <v>582</v>
      </c>
      <c r="E71" t="s">
        <v>177</v>
      </c>
      <c r="F71" t="s">
        <v>186</v>
      </c>
      <c r="G71" t="s">
        <v>350</v>
      </c>
      <c r="H71" t="s">
        <v>269</v>
      </c>
      <c r="I71">
        <v>4000</v>
      </c>
      <c r="J71">
        <v>3554</v>
      </c>
      <c r="K71" s="22">
        <v>45423</v>
      </c>
      <c r="L71" s="22">
        <v>45449</v>
      </c>
      <c r="M71" s="22">
        <v>45460</v>
      </c>
      <c r="N71">
        <v>26</v>
      </c>
      <c r="O71">
        <v>11</v>
      </c>
      <c r="P71" t="s">
        <v>128</v>
      </c>
      <c r="Q71" t="s">
        <v>94</v>
      </c>
      <c r="R71">
        <v>200000</v>
      </c>
      <c r="S71" t="s">
        <v>187</v>
      </c>
      <c r="T71">
        <v>220</v>
      </c>
      <c r="U71" s="29">
        <f>tbl_Tasks_Clean[[#This Row],[Actual_Cost]]-tbl_Tasks_Clean[[#This Row],[Planned_Cost]]</f>
        <v>-446</v>
      </c>
      <c r="V71" s="30">
        <f>IFERROR(tbl_Tasks_Clean[[#This Row],[Cost_Variance]]/tbl_Tasks_Clean[[#This Row],[Planned_Cost]],0)</f>
        <v>-0.1115</v>
      </c>
      <c r="W71" t="str">
        <f>IF(AND(tbl_Tasks_Clean[[#This Row],[Status]]="Completed",tbl_Tasks_Clean[[#This Row],[Delay_Days]]&lt;=0),"On Time",IF(AND(tbl_Tasks_Clean[[#This Row],[Status]]="Completed",tbl_Tasks_Clean[[#This Row],[Delay_Days]]&gt;0),"Late","N/A"))</f>
        <v>N/A</v>
      </c>
      <c r="X71" s="29" t="str" cm="1">
        <f t="array" ref="X71">_xlfn.IFS(tbl_Tasks_Clean[[#This Row],[Planned_Duration_Days]]&lt;=7,"Short (&lt;=7 days)",tbl_Tasks_Clean[[#This Row],[Planned_Duration_Days]]&lt;=20,"Medium (8-20 days)",TRUE,"Long (&gt;20 days)")</f>
        <v>Long (&gt;20 days)</v>
      </c>
      <c r="Y71" s="29" t="str">
        <f>INDEX(Projects!$D:$D,MATCH(tbl_Tasks_Clean[[#This Row],[Project_ID]],Projects!$A:$A,0))</f>
        <v>Ahmed Nabil</v>
      </c>
      <c r="Z71" s="29" t="str">
        <f>IF(tbl_Tasks_Clean[[#This Row],[Delay_Days]]&gt;0,"Delayed by "&amp;TEXT(tbl_Tasks_Clean[[#This Row],[Delay_Days]],"0")&amp;" days",IF(tbl_Tasks_Clean[[#This Row],[Delay_Days]]&lt;0,"Early by "&amp;TEXT(-tbl_Tasks_Clean[[#This Row],[Delay_Days]],"0")&amp;" days","On schedule"))</f>
        <v>Delayed by 11 days</v>
      </c>
    </row>
    <row r="72" spans="1:26" x14ac:dyDescent="0.3">
      <c r="A72" t="s">
        <v>586</v>
      </c>
      <c r="B72" t="s">
        <v>122</v>
      </c>
      <c r="C72" t="s">
        <v>123</v>
      </c>
      <c r="D72" t="s">
        <v>1442</v>
      </c>
      <c r="E72" t="s">
        <v>197</v>
      </c>
      <c r="F72" t="s">
        <v>163</v>
      </c>
      <c r="G72" t="s">
        <v>281</v>
      </c>
      <c r="H72" t="s">
        <v>314</v>
      </c>
      <c r="I72">
        <v>2000</v>
      </c>
      <c r="J72">
        <v>1896</v>
      </c>
      <c r="K72" s="22">
        <v>45476</v>
      </c>
      <c r="L72" s="22">
        <v>45500</v>
      </c>
      <c r="M72" s="22">
        <v>45500</v>
      </c>
      <c r="N72">
        <v>24</v>
      </c>
      <c r="O72">
        <v>0</v>
      </c>
      <c r="P72" t="s">
        <v>111</v>
      </c>
      <c r="Q72" t="s">
        <v>124</v>
      </c>
      <c r="R72">
        <v>150000</v>
      </c>
      <c r="S72" t="s">
        <v>164</v>
      </c>
      <c r="T72">
        <v>180</v>
      </c>
      <c r="U72" s="29">
        <f>tbl_Tasks_Clean[[#This Row],[Actual_Cost]]-tbl_Tasks_Clean[[#This Row],[Planned_Cost]]</f>
        <v>-104</v>
      </c>
      <c r="V72" s="30">
        <f>IFERROR(tbl_Tasks_Clean[[#This Row],[Cost_Variance]]/tbl_Tasks_Clean[[#This Row],[Planned_Cost]],0)</f>
        <v>-5.1999999999999998E-2</v>
      </c>
      <c r="W72" t="str">
        <f>IF(AND(tbl_Tasks_Clean[[#This Row],[Status]]="Completed",tbl_Tasks_Clean[[#This Row],[Delay_Days]]&lt;=0),"On Time",IF(AND(tbl_Tasks_Clean[[#This Row],[Status]]="Completed",tbl_Tasks_Clean[[#This Row],[Delay_Days]]&gt;0),"Late","N/A"))</f>
        <v>On Time</v>
      </c>
      <c r="X72" s="29" t="str" cm="1">
        <f t="array" ref="X72">_xlfn.IFS(tbl_Tasks_Clean[[#This Row],[Planned_Duration_Days]]&lt;=7,"Short (&lt;=7 days)",tbl_Tasks_Clean[[#This Row],[Planned_Duration_Days]]&lt;=20,"Medium (8-20 days)",TRUE,"Long (&gt;20 days)")</f>
        <v>Long (&gt;20 days)</v>
      </c>
      <c r="Y72" s="29" t="str">
        <f>INDEX(Projects!$D:$D,MATCH(tbl_Tasks_Clean[[#This Row],[Project_ID]],Projects!$A:$A,0))</f>
        <v>Sara Hassan</v>
      </c>
      <c r="Z72" s="29" t="str">
        <f>IF(tbl_Tasks_Clean[[#This Row],[Delay_Days]]&gt;0,"Delayed by "&amp;TEXT(tbl_Tasks_Clean[[#This Row],[Delay_Days]],"0")&amp;" days",IF(tbl_Tasks_Clean[[#This Row],[Delay_Days]]&lt;0,"Early by "&amp;TEXT(-tbl_Tasks_Clean[[#This Row],[Delay_Days]],"0")&amp;" days","On schedule"))</f>
        <v>On schedule</v>
      </c>
    </row>
    <row r="73" spans="1:26" x14ac:dyDescent="0.3">
      <c r="A73" t="s">
        <v>590</v>
      </c>
      <c r="B73" t="s">
        <v>122</v>
      </c>
      <c r="C73" t="s">
        <v>123</v>
      </c>
      <c r="D73" t="s">
        <v>591</v>
      </c>
      <c r="E73" t="s">
        <v>1435</v>
      </c>
      <c r="F73" t="s">
        <v>180</v>
      </c>
      <c r="G73" t="s">
        <v>250</v>
      </c>
      <c r="H73" t="s">
        <v>276</v>
      </c>
      <c r="I73">
        <v>8000</v>
      </c>
      <c r="J73">
        <v>0</v>
      </c>
      <c r="K73" s="22">
        <v>45407</v>
      </c>
      <c r="L73" s="22">
        <v>45437</v>
      </c>
      <c r="M73" s="22"/>
      <c r="N73">
        <v>30</v>
      </c>
      <c r="O73">
        <v>0</v>
      </c>
      <c r="P73" t="s">
        <v>111</v>
      </c>
      <c r="Q73" t="s">
        <v>124</v>
      </c>
      <c r="R73">
        <v>150000</v>
      </c>
      <c r="S73" t="s">
        <v>177</v>
      </c>
      <c r="T73">
        <v>280</v>
      </c>
      <c r="U73" s="29">
        <f>tbl_Tasks_Clean[[#This Row],[Actual_Cost]]-tbl_Tasks_Clean[[#This Row],[Planned_Cost]]</f>
        <v>-8000</v>
      </c>
      <c r="V73" s="30">
        <f>IFERROR(tbl_Tasks_Clean[[#This Row],[Cost_Variance]]/tbl_Tasks_Clean[[#This Row],[Planned_Cost]],0)</f>
        <v>-1</v>
      </c>
      <c r="W73" t="str">
        <f>IF(AND(tbl_Tasks_Clean[[#This Row],[Status]]="Completed",tbl_Tasks_Clean[[#This Row],[Delay_Days]]&lt;=0),"On Time",IF(AND(tbl_Tasks_Clean[[#This Row],[Status]]="Completed",tbl_Tasks_Clean[[#This Row],[Delay_Days]]&gt;0),"Late","N/A"))</f>
        <v>N/A</v>
      </c>
      <c r="X73" s="29" t="str" cm="1">
        <f t="array" ref="X73">_xlfn.IFS(tbl_Tasks_Clean[[#This Row],[Planned_Duration_Days]]&lt;=7,"Short (&lt;=7 days)",tbl_Tasks_Clean[[#This Row],[Planned_Duration_Days]]&lt;=20,"Medium (8-20 days)",TRUE,"Long (&gt;20 days)")</f>
        <v>Long (&gt;20 days)</v>
      </c>
      <c r="Y73" s="29" t="str">
        <f>INDEX(Projects!$D:$D,MATCH(tbl_Tasks_Clean[[#This Row],[Project_ID]],Projects!$A:$A,0))</f>
        <v>Sara Hassan</v>
      </c>
      <c r="Z73" s="29" t="str">
        <f>IF(tbl_Tasks_Clean[[#This Row],[Delay_Days]]&gt;0,"Delayed by "&amp;TEXT(tbl_Tasks_Clean[[#This Row],[Delay_Days]],"0")&amp;" days",IF(tbl_Tasks_Clean[[#This Row],[Delay_Days]]&lt;0,"Early by "&amp;TEXT(-tbl_Tasks_Clean[[#This Row],[Delay_Days]],"0")&amp;" days","On schedule"))</f>
        <v>On schedule</v>
      </c>
    </row>
    <row r="74" spans="1:26" x14ac:dyDescent="0.3">
      <c r="A74" t="s">
        <v>595</v>
      </c>
      <c r="B74" t="s">
        <v>118</v>
      </c>
      <c r="C74" t="s">
        <v>119</v>
      </c>
      <c r="D74" t="s">
        <v>596</v>
      </c>
      <c r="F74" t="s">
        <v>167</v>
      </c>
      <c r="G74" t="s">
        <v>281</v>
      </c>
      <c r="H74" t="s">
        <v>287</v>
      </c>
      <c r="I74">
        <v>1500</v>
      </c>
      <c r="J74">
        <v>312</v>
      </c>
      <c r="K74" s="22">
        <v>45297</v>
      </c>
      <c r="L74" s="22">
        <v>45318</v>
      </c>
      <c r="M74" s="22"/>
      <c r="N74">
        <v>21</v>
      </c>
      <c r="O74">
        <v>0</v>
      </c>
      <c r="P74" t="s">
        <v>120</v>
      </c>
      <c r="Q74" t="s">
        <v>99</v>
      </c>
      <c r="R74">
        <v>100000</v>
      </c>
      <c r="S74" t="s">
        <v>164</v>
      </c>
      <c r="T74">
        <v>180</v>
      </c>
      <c r="U74" s="29">
        <f>tbl_Tasks_Clean[[#This Row],[Actual_Cost]]-tbl_Tasks_Clean[[#This Row],[Planned_Cost]]</f>
        <v>-1188</v>
      </c>
      <c r="V74" s="30">
        <f>IFERROR(tbl_Tasks_Clean[[#This Row],[Cost_Variance]]/tbl_Tasks_Clean[[#This Row],[Planned_Cost]],0)</f>
        <v>-0.79200000000000004</v>
      </c>
      <c r="W74" t="str">
        <f>IF(AND(tbl_Tasks_Clean[[#This Row],[Status]]="Completed",tbl_Tasks_Clean[[#This Row],[Delay_Days]]&lt;=0),"On Time",IF(AND(tbl_Tasks_Clean[[#This Row],[Status]]="Completed",tbl_Tasks_Clean[[#This Row],[Delay_Days]]&gt;0),"Late","N/A"))</f>
        <v>N/A</v>
      </c>
      <c r="X74" s="29" t="str" cm="1">
        <f t="array" ref="X74">_xlfn.IFS(tbl_Tasks_Clean[[#This Row],[Planned_Duration_Days]]&lt;=7,"Short (&lt;=7 days)",tbl_Tasks_Clean[[#This Row],[Planned_Duration_Days]]&lt;=20,"Medium (8-20 days)",TRUE,"Long (&gt;20 days)")</f>
        <v>Long (&gt;20 days)</v>
      </c>
      <c r="Y74" s="29" t="str">
        <f>INDEX(Projects!$D:$D,MATCH(tbl_Tasks_Clean[[#This Row],[Project_ID]],Projects!$A:$A,0))</f>
        <v>Laila Samir</v>
      </c>
      <c r="Z74" s="29" t="str">
        <f>IF(tbl_Tasks_Clean[[#This Row],[Delay_Days]]&gt;0,"Delayed by "&amp;TEXT(tbl_Tasks_Clean[[#This Row],[Delay_Days]],"0")&amp;" days",IF(tbl_Tasks_Clean[[#This Row],[Delay_Days]]&lt;0,"Early by "&amp;TEXT(-tbl_Tasks_Clean[[#This Row],[Delay_Days]],"0")&amp;" days","On schedule"))</f>
        <v>On schedule</v>
      </c>
    </row>
    <row r="75" spans="1:26" x14ac:dyDescent="0.3">
      <c r="A75" t="s">
        <v>599</v>
      </c>
      <c r="B75" t="s">
        <v>91</v>
      </c>
      <c r="C75" t="s">
        <v>92</v>
      </c>
      <c r="D75" t="s">
        <v>600</v>
      </c>
      <c r="E75" t="s">
        <v>164</v>
      </c>
      <c r="F75" t="s">
        <v>193</v>
      </c>
      <c r="G75" t="s">
        <v>281</v>
      </c>
      <c r="H75" t="s">
        <v>314</v>
      </c>
      <c r="I75">
        <v>6000</v>
      </c>
      <c r="J75">
        <v>8270</v>
      </c>
      <c r="K75" s="22">
        <v>45498</v>
      </c>
      <c r="L75" s="22">
        <v>45514</v>
      </c>
      <c r="M75" s="22">
        <v>45516</v>
      </c>
      <c r="N75">
        <v>16</v>
      </c>
      <c r="O75">
        <v>2</v>
      </c>
      <c r="P75" t="s">
        <v>93</v>
      </c>
      <c r="Q75" t="s">
        <v>94</v>
      </c>
      <c r="R75">
        <v>100000</v>
      </c>
      <c r="S75" t="s">
        <v>187</v>
      </c>
      <c r="T75">
        <v>300</v>
      </c>
      <c r="U75" s="29">
        <f>tbl_Tasks_Clean[[#This Row],[Actual_Cost]]-tbl_Tasks_Clean[[#This Row],[Planned_Cost]]</f>
        <v>2270</v>
      </c>
      <c r="V75" s="30">
        <f>IFERROR(tbl_Tasks_Clean[[#This Row],[Cost_Variance]]/tbl_Tasks_Clean[[#This Row],[Planned_Cost]],0)</f>
        <v>0.37833333333333335</v>
      </c>
      <c r="W75" t="str">
        <f>IF(AND(tbl_Tasks_Clean[[#This Row],[Status]]="Completed",tbl_Tasks_Clean[[#This Row],[Delay_Days]]&lt;=0),"On Time",IF(AND(tbl_Tasks_Clean[[#This Row],[Status]]="Completed",tbl_Tasks_Clean[[#This Row],[Delay_Days]]&gt;0),"Late","N/A"))</f>
        <v>Late</v>
      </c>
      <c r="X75" s="29" t="str" cm="1">
        <f t="array" ref="X75">_xlfn.IFS(tbl_Tasks_Clean[[#This Row],[Planned_Duration_Days]]&lt;=7,"Short (&lt;=7 days)",tbl_Tasks_Clean[[#This Row],[Planned_Duration_Days]]&lt;=20,"Medium (8-20 days)",TRUE,"Long (&gt;20 days)")</f>
        <v>Medium (8-20 days)</v>
      </c>
      <c r="Y75" s="29" t="str">
        <f>INDEX(Projects!$D:$D,MATCH(tbl_Tasks_Clean[[#This Row],[Project_ID]],Projects!$A:$A,0))</f>
        <v>Ahmed Nabil</v>
      </c>
      <c r="Z75" s="29" t="str">
        <f>IF(tbl_Tasks_Clean[[#This Row],[Delay_Days]]&gt;0,"Delayed by "&amp;TEXT(tbl_Tasks_Clean[[#This Row],[Delay_Days]],"0")&amp;" days",IF(tbl_Tasks_Clean[[#This Row],[Delay_Days]]&lt;0,"Early by "&amp;TEXT(-tbl_Tasks_Clean[[#This Row],[Delay_Days]],"0")&amp;" days","On schedule"))</f>
        <v>Delayed by 2 days</v>
      </c>
    </row>
    <row r="76" spans="1:26" x14ac:dyDescent="0.3">
      <c r="A76" t="s">
        <v>603</v>
      </c>
      <c r="B76" t="s">
        <v>126</v>
      </c>
      <c r="C76" t="s">
        <v>127</v>
      </c>
      <c r="D76" t="s">
        <v>604</v>
      </c>
      <c r="E76" t="s">
        <v>164</v>
      </c>
      <c r="F76" t="s">
        <v>209</v>
      </c>
      <c r="G76" t="s">
        <v>350</v>
      </c>
      <c r="H76" t="s">
        <v>314</v>
      </c>
      <c r="I76">
        <v>2500</v>
      </c>
      <c r="J76">
        <v>3495</v>
      </c>
      <c r="K76" s="22"/>
      <c r="L76" s="22"/>
      <c r="M76" s="22"/>
      <c r="O76">
        <v>0</v>
      </c>
      <c r="P76" t="s">
        <v>128</v>
      </c>
      <c r="Q76" t="s">
        <v>94</v>
      </c>
      <c r="R76">
        <v>200000</v>
      </c>
      <c r="S76" t="s">
        <v>206</v>
      </c>
      <c r="T76">
        <v>250</v>
      </c>
      <c r="U76" s="29">
        <f>tbl_Tasks_Clean[[#This Row],[Actual_Cost]]-tbl_Tasks_Clean[[#This Row],[Planned_Cost]]</f>
        <v>995</v>
      </c>
      <c r="V76" s="30">
        <f>IFERROR(tbl_Tasks_Clean[[#This Row],[Cost_Variance]]/tbl_Tasks_Clean[[#This Row],[Planned_Cost]],0)</f>
        <v>0.39800000000000002</v>
      </c>
      <c r="W76" t="str">
        <f>IF(AND(tbl_Tasks_Clean[[#This Row],[Status]]="Completed",tbl_Tasks_Clean[[#This Row],[Delay_Days]]&lt;=0),"On Time",IF(AND(tbl_Tasks_Clean[[#This Row],[Status]]="Completed",tbl_Tasks_Clean[[#This Row],[Delay_Days]]&gt;0),"Late","N/A"))</f>
        <v>On Time</v>
      </c>
      <c r="X76" s="29" t="str" cm="1">
        <f t="array" ref="X76">_xlfn.IFS(tbl_Tasks_Clean[[#This Row],[Planned_Duration_Days]]&lt;=7,"Short (&lt;=7 days)",tbl_Tasks_Clean[[#This Row],[Planned_Duration_Days]]&lt;=20,"Medium (8-20 days)",TRUE,"Long (&gt;20 days)")</f>
        <v>Short (&lt;=7 days)</v>
      </c>
      <c r="Y76" s="29" t="str">
        <f>INDEX(Projects!$D:$D,MATCH(tbl_Tasks_Clean[[#This Row],[Project_ID]],Projects!$A:$A,0))</f>
        <v>Ahmed Nabil</v>
      </c>
      <c r="Z76" s="29" t="str">
        <f>IF(tbl_Tasks_Clean[[#This Row],[Delay_Days]]&gt;0,"Delayed by "&amp;TEXT(tbl_Tasks_Clean[[#This Row],[Delay_Days]],"0")&amp;" days",IF(tbl_Tasks_Clean[[#This Row],[Delay_Days]]&lt;0,"Early by "&amp;TEXT(-tbl_Tasks_Clean[[#This Row],[Delay_Days]],"0")&amp;" days","On schedule"))</f>
        <v>On schedule</v>
      </c>
    </row>
    <row r="77" spans="1:26" x14ac:dyDescent="0.3">
      <c r="A77" t="s">
        <v>607</v>
      </c>
      <c r="B77" t="s">
        <v>122</v>
      </c>
      <c r="C77" t="s">
        <v>123</v>
      </c>
      <c r="D77" t="s">
        <v>608</v>
      </c>
      <c r="E77" t="s">
        <v>197</v>
      </c>
      <c r="F77" t="s">
        <v>183</v>
      </c>
      <c r="G77" t="s">
        <v>350</v>
      </c>
      <c r="H77" t="s">
        <v>319</v>
      </c>
      <c r="I77">
        <v>1000</v>
      </c>
      <c r="J77">
        <v>483</v>
      </c>
      <c r="K77" s="22"/>
      <c r="L77" s="22"/>
      <c r="M77" s="22"/>
      <c r="O77">
        <v>0</v>
      </c>
      <c r="P77" t="s">
        <v>111</v>
      </c>
      <c r="Q77" t="s">
        <v>124</v>
      </c>
      <c r="R77">
        <v>150000</v>
      </c>
      <c r="S77" t="s">
        <v>177</v>
      </c>
      <c r="T77">
        <v>220</v>
      </c>
      <c r="U77" s="29">
        <f>tbl_Tasks_Clean[[#This Row],[Actual_Cost]]-tbl_Tasks_Clean[[#This Row],[Planned_Cost]]</f>
        <v>-517</v>
      </c>
      <c r="V77" s="30">
        <f>IFERROR(tbl_Tasks_Clean[[#This Row],[Cost_Variance]]/tbl_Tasks_Clean[[#This Row],[Planned_Cost]],0)</f>
        <v>-0.51700000000000002</v>
      </c>
      <c r="W77" t="str">
        <f>IF(AND(tbl_Tasks_Clean[[#This Row],[Status]]="Completed",tbl_Tasks_Clean[[#This Row],[Delay_Days]]&lt;=0),"On Time",IF(AND(tbl_Tasks_Clean[[#This Row],[Status]]="Completed",tbl_Tasks_Clean[[#This Row],[Delay_Days]]&gt;0),"Late","N/A"))</f>
        <v>N/A</v>
      </c>
      <c r="X77" s="29" t="str" cm="1">
        <f t="array" ref="X77">_xlfn.IFS(tbl_Tasks_Clean[[#This Row],[Planned_Duration_Days]]&lt;=7,"Short (&lt;=7 days)",tbl_Tasks_Clean[[#This Row],[Planned_Duration_Days]]&lt;=20,"Medium (8-20 days)",TRUE,"Long (&gt;20 days)")</f>
        <v>Short (&lt;=7 days)</v>
      </c>
      <c r="Y77" s="29" t="str">
        <f>INDEX(Projects!$D:$D,MATCH(tbl_Tasks_Clean[[#This Row],[Project_ID]],Projects!$A:$A,0))</f>
        <v>Sara Hassan</v>
      </c>
      <c r="Z77" s="29" t="str">
        <f>IF(tbl_Tasks_Clean[[#This Row],[Delay_Days]]&gt;0,"Delayed by "&amp;TEXT(tbl_Tasks_Clean[[#This Row],[Delay_Days]],"0")&amp;" days",IF(tbl_Tasks_Clean[[#This Row],[Delay_Days]]&lt;0,"Early by "&amp;TEXT(-tbl_Tasks_Clean[[#This Row],[Delay_Days]],"0")&amp;" days","On schedule"))</f>
        <v>On schedule</v>
      </c>
    </row>
    <row r="78" spans="1:26" x14ac:dyDescent="0.3">
      <c r="A78" t="s">
        <v>611</v>
      </c>
      <c r="B78" t="s">
        <v>140</v>
      </c>
      <c r="C78" t="s">
        <v>141</v>
      </c>
      <c r="D78" t="s">
        <v>612</v>
      </c>
      <c r="E78" t="s">
        <v>177</v>
      </c>
      <c r="F78" t="s">
        <v>216</v>
      </c>
      <c r="G78" t="s">
        <v>281</v>
      </c>
      <c r="H78" t="s">
        <v>314</v>
      </c>
      <c r="I78">
        <v>3000</v>
      </c>
      <c r="J78">
        <v>2484</v>
      </c>
      <c r="K78" s="22"/>
      <c r="L78" s="22"/>
      <c r="M78" s="22"/>
      <c r="O78">
        <v>0</v>
      </c>
      <c r="P78" t="s">
        <v>111</v>
      </c>
      <c r="Q78" t="s">
        <v>116</v>
      </c>
      <c r="R78">
        <v>75000</v>
      </c>
      <c r="S78" t="s">
        <v>206</v>
      </c>
      <c r="T78">
        <v>200</v>
      </c>
      <c r="U78" s="29">
        <f>tbl_Tasks_Clean[[#This Row],[Actual_Cost]]-tbl_Tasks_Clean[[#This Row],[Planned_Cost]]</f>
        <v>-516</v>
      </c>
      <c r="V78" s="30">
        <f>IFERROR(tbl_Tasks_Clean[[#This Row],[Cost_Variance]]/tbl_Tasks_Clean[[#This Row],[Planned_Cost]],0)</f>
        <v>-0.17199999999999999</v>
      </c>
      <c r="W78" t="str">
        <f>IF(AND(tbl_Tasks_Clean[[#This Row],[Status]]="Completed",tbl_Tasks_Clean[[#This Row],[Delay_Days]]&lt;=0),"On Time",IF(AND(tbl_Tasks_Clean[[#This Row],[Status]]="Completed",tbl_Tasks_Clean[[#This Row],[Delay_Days]]&gt;0),"Late","N/A"))</f>
        <v>On Time</v>
      </c>
      <c r="X78" s="29" t="str" cm="1">
        <f t="array" ref="X78">_xlfn.IFS(tbl_Tasks_Clean[[#This Row],[Planned_Duration_Days]]&lt;=7,"Short (&lt;=7 days)",tbl_Tasks_Clean[[#This Row],[Planned_Duration_Days]]&lt;=20,"Medium (8-20 days)",TRUE,"Long (&gt;20 days)")</f>
        <v>Short (&lt;=7 days)</v>
      </c>
      <c r="Y78" s="29" t="str">
        <f>INDEX(Projects!$D:$D,MATCH(tbl_Tasks_Clean[[#This Row],[Project_ID]],Projects!$A:$A,0))</f>
        <v>Nourhan Tarek</v>
      </c>
      <c r="Z78" s="29" t="str">
        <f>IF(tbl_Tasks_Clean[[#This Row],[Delay_Days]]&gt;0,"Delayed by "&amp;TEXT(tbl_Tasks_Clean[[#This Row],[Delay_Days]],"0")&amp;" days",IF(tbl_Tasks_Clean[[#This Row],[Delay_Days]]&lt;0,"Early by "&amp;TEXT(-tbl_Tasks_Clean[[#This Row],[Delay_Days]],"0")&amp;" days","On schedule"))</f>
        <v>On schedule</v>
      </c>
    </row>
    <row r="79" spans="1:26" x14ac:dyDescent="0.3">
      <c r="A79" t="s">
        <v>616</v>
      </c>
      <c r="B79" t="s">
        <v>113</v>
      </c>
      <c r="C79" t="s">
        <v>114</v>
      </c>
      <c r="D79" t="s">
        <v>617</v>
      </c>
      <c r="E79" t="s">
        <v>187</v>
      </c>
      <c r="F79" t="s">
        <v>205</v>
      </c>
      <c r="G79" t="s">
        <v>281</v>
      </c>
      <c r="H79" t="s">
        <v>356</v>
      </c>
      <c r="I79">
        <v>8000</v>
      </c>
      <c r="J79">
        <v>6121</v>
      </c>
      <c r="K79" s="22">
        <v>45354</v>
      </c>
      <c r="L79" s="22">
        <v>45359</v>
      </c>
      <c r="M79" s="22">
        <v>45358</v>
      </c>
      <c r="N79">
        <v>5</v>
      </c>
      <c r="O79">
        <v>-1</v>
      </c>
      <c r="P79" t="s">
        <v>115</v>
      </c>
      <c r="Q79" t="s">
        <v>116</v>
      </c>
      <c r="R79">
        <v>300000</v>
      </c>
      <c r="S79" t="s">
        <v>206</v>
      </c>
      <c r="T79">
        <v>150</v>
      </c>
      <c r="U79" s="29">
        <f>tbl_Tasks_Clean[[#This Row],[Actual_Cost]]-tbl_Tasks_Clean[[#This Row],[Planned_Cost]]</f>
        <v>-1879</v>
      </c>
      <c r="V79" s="30">
        <f>IFERROR(tbl_Tasks_Clean[[#This Row],[Cost_Variance]]/tbl_Tasks_Clean[[#This Row],[Planned_Cost]],0)</f>
        <v>-0.234875</v>
      </c>
      <c r="W79" t="str">
        <f>IF(AND(tbl_Tasks_Clean[[#This Row],[Status]]="Completed",tbl_Tasks_Clean[[#This Row],[Delay_Days]]&lt;=0),"On Time",IF(AND(tbl_Tasks_Clean[[#This Row],[Status]]="Completed",tbl_Tasks_Clean[[#This Row],[Delay_Days]]&gt;0),"Late","N/A"))</f>
        <v>N/A</v>
      </c>
      <c r="X79" s="29" t="str" cm="1">
        <f t="array" ref="X79">_xlfn.IFS(tbl_Tasks_Clean[[#This Row],[Planned_Duration_Days]]&lt;=7,"Short (&lt;=7 days)",tbl_Tasks_Clean[[#This Row],[Planned_Duration_Days]]&lt;=20,"Medium (8-20 days)",TRUE,"Long (&gt;20 days)")</f>
        <v>Short (&lt;=7 days)</v>
      </c>
      <c r="Y79" s="29" t="str">
        <f>INDEX(Projects!$D:$D,MATCH(tbl_Tasks_Clean[[#This Row],[Project_ID]],Projects!$A:$A,0))</f>
        <v>Nourhan Tarek</v>
      </c>
      <c r="Z79" s="29" t="str">
        <f>IF(tbl_Tasks_Clean[[#This Row],[Delay_Days]]&gt;0,"Delayed by "&amp;TEXT(tbl_Tasks_Clean[[#This Row],[Delay_Days]],"0")&amp;" days",IF(tbl_Tasks_Clean[[#This Row],[Delay_Days]]&lt;0,"Early by "&amp;TEXT(-tbl_Tasks_Clean[[#This Row],[Delay_Days]],"0")&amp;" days","On schedule"))</f>
        <v>Early by 1 days</v>
      </c>
    </row>
    <row r="80" spans="1:26" x14ac:dyDescent="0.3">
      <c r="A80" t="s">
        <v>621</v>
      </c>
      <c r="B80" t="s">
        <v>105</v>
      </c>
      <c r="C80" t="s">
        <v>106</v>
      </c>
      <c r="D80" t="s">
        <v>622</v>
      </c>
      <c r="E80" t="s">
        <v>206</v>
      </c>
      <c r="F80" t="s">
        <v>149</v>
      </c>
      <c r="G80" t="s">
        <v>350</v>
      </c>
      <c r="H80" t="s">
        <v>356</v>
      </c>
      <c r="I80">
        <v>1000</v>
      </c>
      <c r="J80">
        <v>1278</v>
      </c>
      <c r="K80" s="22">
        <v>45433</v>
      </c>
      <c r="L80" s="22">
        <v>45462</v>
      </c>
      <c r="M80" s="22">
        <v>45463</v>
      </c>
      <c r="N80">
        <v>29</v>
      </c>
      <c r="O80">
        <v>1</v>
      </c>
      <c r="P80" t="s">
        <v>107</v>
      </c>
      <c r="Q80" t="s">
        <v>84</v>
      </c>
      <c r="R80">
        <v>120000</v>
      </c>
      <c r="S80" t="s">
        <v>150</v>
      </c>
      <c r="T80">
        <v>150</v>
      </c>
      <c r="U80" s="29">
        <f>tbl_Tasks_Clean[[#This Row],[Actual_Cost]]-tbl_Tasks_Clean[[#This Row],[Planned_Cost]]</f>
        <v>278</v>
      </c>
      <c r="V80" s="30">
        <f>IFERROR(tbl_Tasks_Clean[[#This Row],[Cost_Variance]]/tbl_Tasks_Clean[[#This Row],[Planned_Cost]],0)</f>
        <v>0.27800000000000002</v>
      </c>
      <c r="W80" t="str">
        <f>IF(AND(tbl_Tasks_Clean[[#This Row],[Status]]="Completed",tbl_Tasks_Clean[[#This Row],[Delay_Days]]&lt;=0),"On Time",IF(AND(tbl_Tasks_Clean[[#This Row],[Status]]="Completed",tbl_Tasks_Clean[[#This Row],[Delay_Days]]&gt;0),"Late","N/A"))</f>
        <v>N/A</v>
      </c>
      <c r="X80" s="29" t="str" cm="1">
        <f t="array" ref="X80">_xlfn.IFS(tbl_Tasks_Clean[[#This Row],[Planned_Duration_Days]]&lt;=7,"Short (&lt;=7 days)",tbl_Tasks_Clean[[#This Row],[Planned_Duration_Days]]&lt;=20,"Medium (8-20 days)",TRUE,"Long (&gt;20 days)")</f>
        <v>Long (&gt;20 days)</v>
      </c>
      <c r="Y80" s="29" t="str">
        <f>INDEX(Projects!$D:$D,MATCH(tbl_Tasks_Clean[[#This Row],[Project_ID]],Projects!$A:$A,0))</f>
        <v>Mona Farid</v>
      </c>
      <c r="Z80" s="29" t="str">
        <f>IF(tbl_Tasks_Clean[[#This Row],[Delay_Days]]&gt;0,"Delayed by "&amp;TEXT(tbl_Tasks_Clean[[#This Row],[Delay_Days]],"0")&amp;" days",IF(tbl_Tasks_Clean[[#This Row],[Delay_Days]]&lt;0,"Early by "&amp;TEXT(-tbl_Tasks_Clean[[#This Row],[Delay_Days]],"0")&amp;" days","On schedule"))</f>
        <v>Delayed by 1 days</v>
      </c>
    </row>
    <row r="81" spans="1:26" x14ac:dyDescent="0.3">
      <c r="A81" t="s">
        <v>624</v>
      </c>
      <c r="B81" t="s">
        <v>136</v>
      </c>
      <c r="C81" t="s">
        <v>137</v>
      </c>
      <c r="D81" t="s">
        <v>625</v>
      </c>
      <c r="E81" t="s">
        <v>197</v>
      </c>
      <c r="F81" t="s">
        <v>196</v>
      </c>
      <c r="G81" t="s">
        <v>350</v>
      </c>
      <c r="H81" t="s">
        <v>269</v>
      </c>
      <c r="I81">
        <v>2000</v>
      </c>
      <c r="J81">
        <v>2272</v>
      </c>
      <c r="K81" s="22">
        <v>45339</v>
      </c>
      <c r="L81" s="22">
        <v>45367</v>
      </c>
      <c r="M81" s="22">
        <v>45382</v>
      </c>
      <c r="N81">
        <v>28</v>
      </c>
      <c r="O81">
        <v>15</v>
      </c>
      <c r="P81" t="s">
        <v>138</v>
      </c>
      <c r="Q81" t="s">
        <v>94</v>
      </c>
      <c r="R81">
        <v>300000</v>
      </c>
      <c r="S81" t="s">
        <v>197</v>
      </c>
      <c r="T81">
        <v>180</v>
      </c>
      <c r="U81" s="29">
        <f>tbl_Tasks_Clean[[#This Row],[Actual_Cost]]-tbl_Tasks_Clean[[#This Row],[Planned_Cost]]</f>
        <v>272</v>
      </c>
      <c r="V81" s="30">
        <f>IFERROR(tbl_Tasks_Clean[[#This Row],[Cost_Variance]]/tbl_Tasks_Clean[[#This Row],[Planned_Cost]],0)</f>
        <v>0.13600000000000001</v>
      </c>
      <c r="W81" t="str">
        <f>IF(AND(tbl_Tasks_Clean[[#This Row],[Status]]="Completed",tbl_Tasks_Clean[[#This Row],[Delay_Days]]&lt;=0),"On Time",IF(AND(tbl_Tasks_Clean[[#This Row],[Status]]="Completed",tbl_Tasks_Clean[[#This Row],[Delay_Days]]&gt;0),"Late","N/A"))</f>
        <v>N/A</v>
      </c>
      <c r="X81" s="29" t="str" cm="1">
        <f t="array" ref="X81">_xlfn.IFS(tbl_Tasks_Clean[[#This Row],[Planned_Duration_Days]]&lt;=7,"Short (&lt;=7 days)",tbl_Tasks_Clean[[#This Row],[Planned_Duration_Days]]&lt;=20,"Medium (8-20 days)",TRUE,"Long (&gt;20 days)")</f>
        <v>Long (&gt;20 days)</v>
      </c>
      <c r="Y81" s="29" t="str">
        <f>INDEX(Projects!$D:$D,MATCH(tbl_Tasks_Clean[[#This Row],[Project_ID]],Projects!$A:$A,0))</f>
        <v>Ahmed Nabil</v>
      </c>
      <c r="Z81" s="29" t="str">
        <f>IF(tbl_Tasks_Clean[[#This Row],[Delay_Days]]&gt;0,"Delayed by "&amp;TEXT(tbl_Tasks_Clean[[#This Row],[Delay_Days]],"0")&amp;" days",IF(tbl_Tasks_Clean[[#This Row],[Delay_Days]]&lt;0,"Early by "&amp;TEXT(-tbl_Tasks_Clean[[#This Row],[Delay_Days]],"0")&amp;" days","On schedule"))</f>
        <v>Delayed by 15 days</v>
      </c>
    </row>
    <row r="82" spans="1:26" x14ac:dyDescent="0.3">
      <c r="A82" t="s">
        <v>629</v>
      </c>
      <c r="B82" t="s">
        <v>109</v>
      </c>
      <c r="C82" t="s">
        <v>110</v>
      </c>
      <c r="D82" t="s">
        <v>630</v>
      </c>
      <c r="E82" t="s">
        <v>164</v>
      </c>
      <c r="F82" t="s">
        <v>176</v>
      </c>
      <c r="G82" t="s">
        <v>250</v>
      </c>
      <c r="H82" t="s">
        <v>430</v>
      </c>
      <c r="I82">
        <v>2500</v>
      </c>
      <c r="J82">
        <v>0</v>
      </c>
      <c r="K82" s="22"/>
      <c r="L82" s="22"/>
      <c r="M82" s="22"/>
      <c r="O82">
        <v>0</v>
      </c>
      <c r="P82" t="s">
        <v>111</v>
      </c>
      <c r="Q82" t="s">
        <v>99</v>
      </c>
      <c r="R82">
        <v>120000</v>
      </c>
      <c r="S82" t="s">
        <v>177</v>
      </c>
      <c r="T82">
        <v>250</v>
      </c>
      <c r="U82" s="29">
        <f>tbl_Tasks_Clean[[#This Row],[Actual_Cost]]-tbl_Tasks_Clean[[#This Row],[Planned_Cost]]</f>
        <v>-2500</v>
      </c>
      <c r="V82" s="30">
        <f>IFERROR(tbl_Tasks_Clean[[#This Row],[Cost_Variance]]/tbl_Tasks_Clean[[#This Row],[Planned_Cost]],0)</f>
        <v>-1</v>
      </c>
      <c r="W82" t="str">
        <f>IF(AND(tbl_Tasks_Clean[[#This Row],[Status]]="Completed",tbl_Tasks_Clean[[#This Row],[Delay_Days]]&lt;=0),"On Time",IF(AND(tbl_Tasks_Clean[[#This Row],[Status]]="Completed",tbl_Tasks_Clean[[#This Row],[Delay_Days]]&gt;0),"Late","N/A"))</f>
        <v>N/A</v>
      </c>
      <c r="X82" s="29" t="str" cm="1">
        <f t="array" ref="X82">_xlfn.IFS(tbl_Tasks_Clean[[#This Row],[Planned_Duration_Days]]&lt;=7,"Short (&lt;=7 days)",tbl_Tasks_Clean[[#This Row],[Planned_Duration_Days]]&lt;=20,"Medium (8-20 days)",TRUE,"Long (&gt;20 days)")</f>
        <v>Short (&lt;=7 days)</v>
      </c>
      <c r="Y82" s="29" t="str">
        <f>INDEX(Projects!$D:$D,MATCH(tbl_Tasks_Clean[[#This Row],[Project_ID]],Projects!$A:$A,0))</f>
        <v>Laila Samir</v>
      </c>
      <c r="Z82" s="29" t="str">
        <f>IF(tbl_Tasks_Clean[[#This Row],[Delay_Days]]&gt;0,"Delayed by "&amp;TEXT(tbl_Tasks_Clean[[#This Row],[Delay_Days]],"0")&amp;" days",IF(tbl_Tasks_Clean[[#This Row],[Delay_Days]]&lt;0,"Early by "&amp;TEXT(-tbl_Tasks_Clean[[#This Row],[Delay_Days]],"0")&amp;" days","On schedule"))</f>
        <v>On schedule</v>
      </c>
    </row>
    <row r="83" spans="1:26" x14ac:dyDescent="0.3">
      <c r="A83" t="s">
        <v>633</v>
      </c>
      <c r="B83" t="s">
        <v>96</v>
      </c>
      <c r="C83" t="s">
        <v>97</v>
      </c>
      <c r="D83" t="s">
        <v>634</v>
      </c>
      <c r="E83" t="s">
        <v>187</v>
      </c>
      <c r="F83" t="s">
        <v>158</v>
      </c>
      <c r="G83" t="s">
        <v>350</v>
      </c>
      <c r="H83" t="s">
        <v>276</v>
      </c>
      <c r="I83">
        <v>4000</v>
      </c>
      <c r="J83">
        <v>0</v>
      </c>
      <c r="K83" s="22">
        <v>45530</v>
      </c>
      <c r="L83" s="22">
        <v>45542</v>
      </c>
      <c r="M83" s="22"/>
      <c r="N83">
        <v>12</v>
      </c>
      <c r="O83">
        <v>0</v>
      </c>
      <c r="P83" t="s">
        <v>98</v>
      </c>
      <c r="Q83" t="s">
        <v>99</v>
      </c>
      <c r="R83">
        <v>75000</v>
      </c>
      <c r="S83" t="s">
        <v>150</v>
      </c>
      <c r="T83">
        <v>180</v>
      </c>
      <c r="U83" s="29">
        <f>tbl_Tasks_Clean[[#This Row],[Actual_Cost]]-tbl_Tasks_Clean[[#This Row],[Planned_Cost]]</f>
        <v>-4000</v>
      </c>
      <c r="V83" s="30">
        <f>IFERROR(tbl_Tasks_Clean[[#This Row],[Cost_Variance]]/tbl_Tasks_Clean[[#This Row],[Planned_Cost]],0)</f>
        <v>-1</v>
      </c>
      <c r="W83" t="str">
        <f>IF(AND(tbl_Tasks_Clean[[#This Row],[Status]]="Completed",tbl_Tasks_Clean[[#This Row],[Delay_Days]]&lt;=0),"On Time",IF(AND(tbl_Tasks_Clean[[#This Row],[Status]]="Completed",tbl_Tasks_Clean[[#This Row],[Delay_Days]]&gt;0),"Late","N/A"))</f>
        <v>N/A</v>
      </c>
      <c r="X83" s="29" t="str" cm="1">
        <f t="array" ref="X83">_xlfn.IFS(tbl_Tasks_Clean[[#This Row],[Planned_Duration_Days]]&lt;=7,"Short (&lt;=7 days)",tbl_Tasks_Clean[[#This Row],[Planned_Duration_Days]]&lt;=20,"Medium (8-20 days)",TRUE,"Long (&gt;20 days)")</f>
        <v>Medium (8-20 days)</v>
      </c>
      <c r="Y83" s="29" t="str">
        <f>INDEX(Projects!$D:$D,MATCH(tbl_Tasks_Clean[[#This Row],[Project_ID]],Projects!$A:$A,0))</f>
        <v>Laila Samir</v>
      </c>
      <c r="Z83" s="29" t="str">
        <f>IF(tbl_Tasks_Clean[[#This Row],[Delay_Days]]&gt;0,"Delayed by "&amp;TEXT(tbl_Tasks_Clean[[#This Row],[Delay_Days]],"0")&amp;" days",IF(tbl_Tasks_Clean[[#This Row],[Delay_Days]]&lt;0,"Early by "&amp;TEXT(-tbl_Tasks_Clean[[#This Row],[Delay_Days]],"0")&amp;" days","On schedule"))</f>
        <v>On schedule</v>
      </c>
    </row>
    <row r="84" spans="1:26" x14ac:dyDescent="0.3">
      <c r="A84" t="s">
        <v>637</v>
      </c>
      <c r="B84" t="s">
        <v>105</v>
      </c>
      <c r="C84" t="s">
        <v>106</v>
      </c>
      <c r="D84" t="s">
        <v>638</v>
      </c>
      <c r="E84" t="s">
        <v>197</v>
      </c>
      <c r="F84" t="s">
        <v>169</v>
      </c>
      <c r="G84" t="s">
        <v>250</v>
      </c>
      <c r="H84" t="s">
        <v>430</v>
      </c>
      <c r="I84">
        <v>8000</v>
      </c>
      <c r="J84">
        <v>0</v>
      </c>
      <c r="K84" s="22"/>
      <c r="L84" s="22"/>
      <c r="M84" s="22"/>
      <c r="O84">
        <v>0</v>
      </c>
      <c r="P84" t="s">
        <v>107</v>
      </c>
      <c r="Q84" t="s">
        <v>84</v>
      </c>
      <c r="R84">
        <v>120000</v>
      </c>
      <c r="S84" t="s">
        <v>164</v>
      </c>
      <c r="T84">
        <v>200</v>
      </c>
      <c r="U84" s="29">
        <f>tbl_Tasks_Clean[[#This Row],[Actual_Cost]]-tbl_Tasks_Clean[[#This Row],[Planned_Cost]]</f>
        <v>-8000</v>
      </c>
      <c r="V84" s="30">
        <f>IFERROR(tbl_Tasks_Clean[[#This Row],[Cost_Variance]]/tbl_Tasks_Clean[[#This Row],[Planned_Cost]],0)</f>
        <v>-1</v>
      </c>
      <c r="W84" t="str">
        <f>IF(AND(tbl_Tasks_Clean[[#This Row],[Status]]="Completed",tbl_Tasks_Clean[[#This Row],[Delay_Days]]&lt;=0),"On Time",IF(AND(tbl_Tasks_Clean[[#This Row],[Status]]="Completed",tbl_Tasks_Clean[[#This Row],[Delay_Days]]&gt;0),"Late","N/A"))</f>
        <v>N/A</v>
      </c>
      <c r="X84" s="29" t="str" cm="1">
        <f t="array" ref="X84">_xlfn.IFS(tbl_Tasks_Clean[[#This Row],[Planned_Duration_Days]]&lt;=7,"Short (&lt;=7 days)",tbl_Tasks_Clean[[#This Row],[Planned_Duration_Days]]&lt;=20,"Medium (8-20 days)",TRUE,"Long (&gt;20 days)")</f>
        <v>Short (&lt;=7 days)</v>
      </c>
      <c r="Y84" s="29" t="str">
        <f>INDEX(Projects!$D:$D,MATCH(tbl_Tasks_Clean[[#This Row],[Project_ID]],Projects!$A:$A,0))</f>
        <v>Mona Farid</v>
      </c>
      <c r="Z84" s="29" t="str">
        <f>IF(tbl_Tasks_Clean[[#This Row],[Delay_Days]]&gt;0,"Delayed by "&amp;TEXT(tbl_Tasks_Clean[[#This Row],[Delay_Days]],"0")&amp;" days",IF(tbl_Tasks_Clean[[#This Row],[Delay_Days]]&lt;0,"Early by "&amp;TEXT(-tbl_Tasks_Clean[[#This Row],[Delay_Days]],"0")&amp;" days","On schedule"))</f>
        <v>On schedule</v>
      </c>
    </row>
    <row r="85" spans="1:26" x14ac:dyDescent="0.3">
      <c r="A85" t="s">
        <v>640</v>
      </c>
      <c r="B85" t="s">
        <v>136</v>
      </c>
      <c r="C85" t="s">
        <v>137</v>
      </c>
      <c r="D85" t="s">
        <v>641</v>
      </c>
      <c r="E85" t="s">
        <v>187</v>
      </c>
      <c r="F85" t="s">
        <v>214</v>
      </c>
      <c r="G85" t="s">
        <v>250</v>
      </c>
      <c r="H85" t="s">
        <v>287</v>
      </c>
      <c r="I85">
        <v>5000</v>
      </c>
      <c r="J85">
        <v>2964</v>
      </c>
      <c r="K85" s="22">
        <v>45436</v>
      </c>
      <c r="L85" s="22">
        <v>45439</v>
      </c>
      <c r="M85" s="22"/>
      <c r="N85">
        <v>3</v>
      </c>
      <c r="O85">
        <v>0</v>
      </c>
      <c r="P85" t="s">
        <v>138</v>
      </c>
      <c r="Q85" t="s">
        <v>94</v>
      </c>
      <c r="R85">
        <v>300000</v>
      </c>
      <c r="S85" t="s">
        <v>206</v>
      </c>
      <c r="T85">
        <v>180</v>
      </c>
      <c r="U85" s="29">
        <f>tbl_Tasks_Clean[[#This Row],[Actual_Cost]]-tbl_Tasks_Clean[[#This Row],[Planned_Cost]]</f>
        <v>-2036</v>
      </c>
      <c r="V85" s="30">
        <f>IFERROR(tbl_Tasks_Clean[[#This Row],[Cost_Variance]]/tbl_Tasks_Clean[[#This Row],[Planned_Cost]],0)</f>
        <v>-0.40720000000000001</v>
      </c>
      <c r="W85" t="str">
        <f>IF(AND(tbl_Tasks_Clean[[#This Row],[Status]]="Completed",tbl_Tasks_Clean[[#This Row],[Delay_Days]]&lt;=0),"On Time",IF(AND(tbl_Tasks_Clean[[#This Row],[Status]]="Completed",tbl_Tasks_Clean[[#This Row],[Delay_Days]]&gt;0),"Late","N/A"))</f>
        <v>N/A</v>
      </c>
      <c r="X85" s="29" t="str" cm="1">
        <f t="array" ref="X85">_xlfn.IFS(tbl_Tasks_Clean[[#This Row],[Planned_Duration_Days]]&lt;=7,"Short (&lt;=7 days)",tbl_Tasks_Clean[[#This Row],[Planned_Duration_Days]]&lt;=20,"Medium (8-20 days)",TRUE,"Long (&gt;20 days)")</f>
        <v>Short (&lt;=7 days)</v>
      </c>
      <c r="Y85" s="29" t="str">
        <f>INDEX(Projects!$D:$D,MATCH(tbl_Tasks_Clean[[#This Row],[Project_ID]],Projects!$A:$A,0))</f>
        <v>Ahmed Nabil</v>
      </c>
      <c r="Z85" s="29" t="str">
        <f>IF(tbl_Tasks_Clean[[#This Row],[Delay_Days]]&gt;0,"Delayed by "&amp;TEXT(tbl_Tasks_Clean[[#This Row],[Delay_Days]],"0")&amp;" days",IF(tbl_Tasks_Clean[[#This Row],[Delay_Days]]&lt;0,"Early by "&amp;TEXT(-tbl_Tasks_Clean[[#This Row],[Delay_Days]],"0")&amp;" days","On schedule"))</f>
        <v>On schedule</v>
      </c>
    </row>
    <row r="86" spans="1:26" x14ac:dyDescent="0.3">
      <c r="A86" t="s">
        <v>643</v>
      </c>
      <c r="B86" t="s">
        <v>91</v>
      </c>
      <c r="C86" t="s">
        <v>92</v>
      </c>
      <c r="D86" t="s">
        <v>644</v>
      </c>
      <c r="E86" t="s">
        <v>187</v>
      </c>
      <c r="F86" t="s">
        <v>1439</v>
      </c>
      <c r="G86" t="s">
        <v>350</v>
      </c>
      <c r="H86" t="s">
        <v>430</v>
      </c>
      <c r="I86">
        <v>8000</v>
      </c>
      <c r="J86">
        <v>0</v>
      </c>
      <c r="K86" s="22">
        <v>45465</v>
      </c>
      <c r="L86" s="22">
        <v>45479</v>
      </c>
      <c r="M86" s="22"/>
      <c r="N86">
        <v>14</v>
      </c>
      <c r="O86">
        <v>0</v>
      </c>
      <c r="P86" t="s">
        <v>93</v>
      </c>
      <c r="Q86" t="s">
        <v>94</v>
      </c>
      <c r="R86">
        <v>100000</v>
      </c>
      <c r="U86" s="29">
        <f>tbl_Tasks_Clean[[#This Row],[Actual_Cost]]-tbl_Tasks_Clean[[#This Row],[Planned_Cost]]</f>
        <v>-8000</v>
      </c>
      <c r="V86" s="30">
        <f>IFERROR(tbl_Tasks_Clean[[#This Row],[Cost_Variance]]/tbl_Tasks_Clean[[#This Row],[Planned_Cost]],0)</f>
        <v>-1</v>
      </c>
      <c r="W86" t="str">
        <f>IF(AND(tbl_Tasks_Clean[[#This Row],[Status]]="Completed",tbl_Tasks_Clean[[#This Row],[Delay_Days]]&lt;=0),"On Time",IF(AND(tbl_Tasks_Clean[[#This Row],[Status]]="Completed",tbl_Tasks_Clean[[#This Row],[Delay_Days]]&gt;0),"Late","N/A"))</f>
        <v>N/A</v>
      </c>
      <c r="X86" s="29" t="str" cm="1">
        <f t="array" ref="X86">_xlfn.IFS(tbl_Tasks_Clean[[#This Row],[Planned_Duration_Days]]&lt;=7,"Short (&lt;=7 days)",tbl_Tasks_Clean[[#This Row],[Planned_Duration_Days]]&lt;=20,"Medium (8-20 days)",TRUE,"Long (&gt;20 days)")</f>
        <v>Medium (8-20 days)</v>
      </c>
      <c r="Y86" s="29" t="str">
        <f>INDEX(Projects!$D:$D,MATCH(tbl_Tasks_Clean[[#This Row],[Project_ID]],Projects!$A:$A,0))</f>
        <v>Ahmed Nabil</v>
      </c>
      <c r="Z86" s="29" t="str">
        <f>IF(tbl_Tasks_Clean[[#This Row],[Delay_Days]]&gt;0,"Delayed by "&amp;TEXT(tbl_Tasks_Clean[[#This Row],[Delay_Days]],"0")&amp;" days",IF(tbl_Tasks_Clean[[#This Row],[Delay_Days]]&lt;0,"Early by "&amp;TEXT(-tbl_Tasks_Clean[[#This Row],[Delay_Days]],"0")&amp;" days","On schedule"))</f>
        <v>On schedule</v>
      </c>
    </row>
    <row r="87" spans="1:26" x14ac:dyDescent="0.3">
      <c r="A87" t="s">
        <v>647</v>
      </c>
      <c r="B87" t="s">
        <v>86</v>
      </c>
      <c r="C87" t="s">
        <v>87</v>
      </c>
      <c r="D87" t="s">
        <v>648</v>
      </c>
      <c r="E87" t="s">
        <v>150</v>
      </c>
      <c r="F87" t="s">
        <v>186</v>
      </c>
      <c r="G87" t="s">
        <v>250</v>
      </c>
      <c r="H87" t="s">
        <v>276</v>
      </c>
      <c r="I87">
        <v>8000</v>
      </c>
      <c r="J87">
        <v>0</v>
      </c>
      <c r="K87" s="22">
        <v>45594</v>
      </c>
      <c r="L87" s="22">
        <v>45616</v>
      </c>
      <c r="M87" s="22"/>
      <c r="N87">
        <v>22</v>
      </c>
      <c r="O87">
        <v>0</v>
      </c>
      <c r="P87" t="s">
        <v>88</v>
      </c>
      <c r="Q87" t="s">
        <v>89</v>
      </c>
      <c r="R87">
        <v>150000</v>
      </c>
      <c r="S87" t="s">
        <v>187</v>
      </c>
      <c r="T87">
        <v>220</v>
      </c>
      <c r="U87" s="29">
        <f>tbl_Tasks_Clean[[#This Row],[Actual_Cost]]-tbl_Tasks_Clean[[#This Row],[Planned_Cost]]</f>
        <v>-8000</v>
      </c>
      <c r="V87" s="30">
        <f>IFERROR(tbl_Tasks_Clean[[#This Row],[Cost_Variance]]/tbl_Tasks_Clean[[#This Row],[Planned_Cost]],0)</f>
        <v>-1</v>
      </c>
      <c r="W87" t="str">
        <f>IF(AND(tbl_Tasks_Clean[[#This Row],[Status]]="Completed",tbl_Tasks_Clean[[#This Row],[Delay_Days]]&lt;=0),"On Time",IF(AND(tbl_Tasks_Clean[[#This Row],[Status]]="Completed",tbl_Tasks_Clean[[#This Row],[Delay_Days]]&gt;0),"Late","N/A"))</f>
        <v>N/A</v>
      </c>
      <c r="X87" s="29" t="str" cm="1">
        <f t="array" ref="X87">_xlfn.IFS(tbl_Tasks_Clean[[#This Row],[Planned_Duration_Days]]&lt;=7,"Short (&lt;=7 days)",tbl_Tasks_Clean[[#This Row],[Planned_Duration_Days]]&lt;=20,"Medium (8-20 days)",TRUE,"Long (&gt;20 days)")</f>
        <v>Long (&gt;20 days)</v>
      </c>
      <c r="Y87" s="29" t="str">
        <f>INDEX(Projects!$D:$D,MATCH(tbl_Tasks_Clean[[#This Row],[Project_ID]],Projects!$A:$A,0))</f>
        <v>Youssef Adel</v>
      </c>
      <c r="Z87" s="29" t="str">
        <f>IF(tbl_Tasks_Clean[[#This Row],[Delay_Days]]&gt;0,"Delayed by "&amp;TEXT(tbl_Tasks_Clean[[#This Row],[Delay_Days]],"0")&amp;" days",IF(tbl_Tasks_Clean[[#This Row],[Delay_Days]]&lt;0,"Early by "&amp;TEXT(-tbl_Tasks_Clean[[#This Row],[Delay_Days]],"0")&amp;" days","On schedule"))</f>
        <v>On schedule</v>
      </c>
    </row>
    <row r="88" spans="1:26" x14ac:dyDescent="0.3">
      <c r="A88" t="s">
        <v>651</v>
      </c>
      <c r="B88" t="s">
        <v>133</v>
      </c>
      <c r="C88" t="s">
        <v>134</v>
      </c>
      <c r="D88" t="s">
        <v>532</v>
      </c>
      <c r="E88" t="s">
        <v>164</v>
      </c>
      <c r="F88" t="s">
        <v>205</v>
      </c>
      <c r="G88" t="s">
        <v>350</v>
      </c>
      <c r="H88" t="s">
        <v>287</v>
      </c>
      <c r="I88">
        <v>5000</v>
      </c>
      <c r="J88">
        <v>2256</v>
      </c>
      <c r="K88" s="22"/>
      <c r="L88" s="22"/>
      <c r="M88" s="22"/>
      <c r="O88">
        <v>0</v>
      </c>
      <c r="P88" t="s">
        <v>111</v>
      </c>
      <c r="Q88" t="s">
        <v>116</v>
      </c>
      <c r="R88">
        <v>200000</v>
      </c>
      <c r="S88" t="s">
        <v>206</v>
      </c>
      <c r="T88">
        <v>150</v>
      </c>
      <c r="U88" s="29">
        <f>tbl_Tasks_Clean[[#This Row],[Actual_Cost]]-tbl_Tasks_Clean[[#This Row],[Planned_Cost]]</f>
        <v>-2744</v>
      </c>
      <c r="V88" s="30">
        <f>IFERROR(tbl_Tasks_Clean[[#This Row],[Cost_Variance]]/tbl_Tasks_Clean[[#This Row],[Planned_Cost]],0)</f>
        <v>-0.54879999999999995</v>
      </c>
      <c r="W88" t="str">
        <f>IF(AND(tbl_Tasks_Clean[[#This Row],[Status]]="Completed",tbl_Tasks_Clean[[#This Row],[Delay_Days]]&lt;=0),"On Time",IF(AND(tbl_Tasks_Clean[[#This Row],[Status]]="Completed",tbl_Tasks_Clean[[#This Row],[Delay_Days]]&gt;0),"Late","N/A"))</f>
        <v>N/A</v>
      </c>
      <c r="X88" s="29" t="str" cm="1">
        <f t="array" ref="X88">_xlfn.IFS(tbl_Tasks_Clean[[#This Row],[Planned_Duration_Days]]&lt;=7,"Short (&lt;=7 days)",tbl_Tasks_Clean[[#This Row],[Planned_Duration_Days]]&lt;=20,"Medium (8-20 days)",TRUE,"Long (&gt;20 days)")</f>
        <v>Short (&lt;=7 days)</v>
      </c>
      <c r="Y88" s="29" t="str">
        <f>INDEX(Projects!$D:$D,MATCH(tbl_Tasks_Clean[[#This Row],[Project_ID]],Projects!$A:$A,0))</f>
        <v>Nourhan Tarek</v>
      </c>
      <c r="Z88" s="29" t="str">
        <f>IF(tbl_Tasks_Clean[[#This Row],[Delay_Days]]&gt;0,"Delayed by "&amp;TEXT(tbl_Tasks_Clean[[#This Row],[Delay_Days]],"0")&amp;" days",IF(tbl_Tasks_Clean[[#This Row],[Delay_Days]]&lt;0,"Early by "&amp;TEXT(-tbl_Tasks_Clean[[#This Row],[Delay_Days]],"0")&amp;" days","On schedule"))</f>
        <v>On schedule</v>
      </c>
    </row>
    <row r="89" spans="1:26" x14ac:dyDescent="0.3">
      <c r="A89" t="s">
        <v>654</v>
      </c>
      <c r="B89" t="s">
        <v>91</v>
      </c>
      <c r="C89" t="s">
        <v>92</v>
      </c>
      <c r="D89" t="s">
        <v>263</v>
      </c>
      <c r="E89" t="s">
        <v>177</v>
      </c>
      <c r="F89" t="s">
        <v>222</v>
      </c>
      <c r="G89" t="s">
        <v>250</v>
      </c>
      <c r="H89" t="s">
        <v>287</v>
      </c>
      <c r="I89">
        <v>2500</v>
      </c>
      <c r="J89">
        <v>1886</v>
      </c>
      <c r="K89" s="22">
        <v>45367</v>
      </c>
      <c r="L89" s="22">
        <v>45391</v>
      </c>
      <c r="M89" s="22"/>
      <c r="N89">
        <v>24</v>
      </c>
      <c r="O89">
        <v>0</v>
      </c>
      <c r="P89" t="s">
        <v>93</v>
      </c>
      <c r="Q89" t="s">
        <v>94</v>
      </c>
      <c r="R89">
        <v>100000</v>
      </c>
      <c r="S89" t="s">
        <v>219</v>
      </c>
      <c r="T89">
        <v>250</v>
      </c>
      <c r="U89" s="29">
        <f>tbl_Tasks_Clean[[#This Row],[Actual_Cost]]-tbl_Tasks_Clean[[#This Row],[Planned_Cost]]</f>
        <v>-614</v>
      </c>
      <c r="V89" s="30">
        <f>IFERROR(tbl_Tasks_Clean[[#This Row],[Cost_Variance]]/tbl_Tasks_Clean[[#This Row],[Planned_Cost]],0)</f>
        <v>-0.24560000000000001</v>
      </c>
      <c r="W89" t="str">
        <f>IF(AND(tbl_Tasks_Clean[[#This Row],[Status]]="Completed",tbl_Tasks_Clean[[#This Row],[Delay_Days]]&lt;=0),"On Time",IF(AND(tbl_Tasks_Clean[[#This Row],[Status]]="Completed",tbl_Tasks_Clean[[#This Row],[Delay_Days]]&gt;0),"Late","N/A"))</f>
        <v>N/A</v>
      </c>
      <c r="X89" s="29" t="str" cm="1">
        <f t="array" ref="X89">_xlfn.IFS(tbl_Tasks_Clean[[#This Row],[Planned_Duration_Days]]&lt;=7,"Short (&lt;=7 days)",tbl_Tasks_Clean[[#This Row],[Planned_Duration_Days]]&lt;=20,"Medium (8-20 days)",TRUE,"Long (&gt;20 days)")</f>
        <v>Long (&gt;20 days)</v>
      </c>
      <c r="Y89" s="29" t="str">
        <f>INDEX(Projects!$D:$D,MATCH(tbl_Tasks_Clean[[#This Row],[Project_ID]],Projects!$A:$A,0))</f>
        <v>Ahmed Nabil</v>
      </c>
      <c r="Z89" s="29" t="str">
        <f>IF(tbl_Tasks_Clean[[#This Row],[Delay_Days]]&gt;0,"Delayed by "&amp;TEXT(tbl_Tasks_Clean[[#This Row],[Delay_Days]],"0")&amp;" days",IF(tbl_Tasks_Clean[[#This Row],[Delay_Days]]&lt;0,"Early by "&amp;TEXT(-tbl_Tasks_Clean[[#This Row],[Delay_Days]],"0")&amp;" days","On schedule"))</f>
        <v>On schedule</v>
      </c>
    </row>
    <row r="90" spans="1:26" x14ac:dyDescent="0.3">
      <c r="A90" t="s">
        <v>657</v>
      </c>
      <c r="B90" t="s">
        <v>133</v>
      </c>
      <c r="C90" t="s">
        <v>134</v>
      </c>
      <c r="D90" t="s">
        <v>658</v>
      </c>
      <c r="E90" t="s">
        <v>197</v>
      </c>
      <c r="F90" t="s">
        <v>163</v>
      </c>
      <c r="G90" t="s">
        <v>250</v>
      </c>
      <c r="H90" t="s">
        <v>356</v>
      </c>
      <c r="I90">
        <v>4000</v>
      </c>
      <c r="J90">
        <v>4271</v>
      </c>
      <c r="K90" s="22">
        <v>45401</v>
      </c>
      <c r="L90" s="22">
        <v>45429</v>
      </c>
      <c r="M90" s="22">
        <v>45431</v>
      </c>
      <c r="N90">
        <v>28</v>
      </c>
      <c r="O90">
        <v>2</v>
      </c>
      <c r="P90" t="s">
        <v>111</v>
      </c>
      <c r="Q90" t="s">
        <v>116</v>
      </c>
      <c r="R90">
        <v>200000</v>
      </c>
      <c r="S90" t="s">
        <v>164</v>
      </c>
      <c r="T90">
        <v>180</v>
      </c>
      <c r="U90" s="29">
        <f>tbl_Tasks_Clean[[#This Row],[Actual_Cost]]-tbl_Tasks_Clean[[#This Row],[Planned_Cost]]</f>
        <v>271</v>
      </c>
      <c r="V90" s="30">
        <f>IFERROR(tbl_Tasks_Clean[[#This Row],[Cost_Variance]]/tbl_Tasks_Clean[[#This Row],[Planned_Cost]],0)</f>
        <v>6.7750000000000005E-2</v>
      </c>
      <c r="W90" t="str">
        <f>IF(AND(tbl_Tasks_Clean[[#This Row],[Status]]="Completed",tbl_Tasks_Clean[[#This Row],[Delay_Days]]&lt;=0),"On Time",IF(AND(tbl_Tasks_Clean[[#This Row],[Status]]="Completed",tbl_Tasks_Clean[[#This Row],[Delay_Days]]&gt;0),"Late","N/A"))</f>
        <v>N/A</v>
      </c>
      <c r="X90" s="29" t="str" cm="1">
        <f t="array" ref="X90">_xlfn.IFS(tbl_Tasks_Clean[[#This Row],[Planned_Duration_Days]]&lt;=7,"Short (&lt;=7 days)",tbl_Tasks_Clean[[#This Row],[Planned_Duration_Days]]&lt;=20,"Medium (8-20 days)",TRUE,"Long (&gt;20 days)")</f>
        <v>Long (&gt;20 days)</v>
      </c>
      <c r="Y90" s="29" t="str">
        <f>INDEX(Projects!$D:$D,MATCH(tbl_Tasks_Clean[[#This Row],[Project_ID]],Projects!$A:$A,0))</f>
        <v>Nourhan Tarek</v>
      </c>
      <c r="Z90" s="29" t="str">
        <f>IF(tbl_Tasks_Clean[[#This Row],[Delay_Days]]&gt;0,"Delayed by "&amp;TEXT(tbl_Tasks_Clean[[#This Row],[Delay_Days]],"0")&amp;" days",IF(tbl_Tasks_Clean[[#This Row],[Delay_Days]]&lt;0,"Early by "&amp;TEXT(-tbl_Tasks_Clean[[#This Row],[Delay_Days]],"0")&amp;" days","On schedule"))</f>
        <v>Delayed by 2 days</v>
      </c>
    </row>
    <row r="91" spans="1:26" x14ac:dyDescent="0.3">
      <c r="A91" t="s">
        <v>661</v>
      </c>
      <c r="B91" t="s">
        <v>126</v>
      </c>
      <c r="C91" t="s">
        <v>127</v>
      </c>
      <c r="D91" t="s">
        <v>662</v>
      </c>
      <c r="E91" t="s">
        <v>206</v>
      </c>
      <c r="F91" t="s">
        <v>216</v>
      </c>
      <c r="G91" t="s">
        <v>350</v>
      </c>
      <c r="H91" t="s">
        <v>319</v>
      </c>
      <c r="I91">
        <v>4000</v>
      </c>
      <c r="J91">
        <v>2434</v>
      </c>
      <c r="K91" s="22">
        <v>45450</v>
      </c>
      <c r="L91" s="22">
        <v>45474</v>
      </c>
      <c r="M91" s="22"/>
      <c r="N91">
        <v>24</v>
      </c>
      <c r="O91">
        <v>0</v>
      </c>
      <c r="P91" t="s">
        <v>128</v>
      </c>
      <c r="Q91" t="s">
        <v>94</v>
      </c>
      <c r="R91">
        <v>200000</v>
      </c>
      <c r="S91" t="s">
        <v>206</v>
      </c>
      <c r="T91">
        <v>200</v>
      </c>
      <c r="U91" s="29">
        <f>tbl_Tasks_Clean[[#This Row],[Actual_Cost]]-tbl_Tasks_Clean[[#This Row],[Planned_Cost]]</f>
        <v>-1566</v>
      </c>
      <c r="V91" s="30">
        <f>IFERROR(tbl_Tasks_Clean[[#This Row],[Cost_Variance]]/tbl_Tasks_Clean[[#This Row],[Planned_Cost]],0)</f>
        <v>-0.39150000000000001</v>
      </c>
      <c r="W91" t="str">
        <f>IF(AND(tbl_Tasks_Clean[[#This Row],[Status]]="Completed",tbl_Tasks_Clean[[#This Row],[Delay_Days]]&lt;=0),"On Time",IF(AND(tbl_Tasks_Clean[[#This Row],[Status]]="Completed",tbl_Tasks_Clean[[#This Row],[Delay_Days]]&gt;0),"Late","N/A"))</f>
        <v>N/A</v>
      </c>
      <c r="X91" s="29" t="str" cm="1">
        <f t="array" ref="X91">_xlfn.IFS(tbl_Tasks_Clean[[#This Row],[Planned_Duration_Days]]&lt;=7,"Short (&lt;=7 days)",tbl_Tasks_Clean[[#This Row],[Planned_Duration_Days]]&lt;=20,"Medium (8-20 days)",TRUE,"Long (&gt;20 days)")</f>
        <v>Long (&gt;20 days)</v>
      </c>
      <c r="Y91" s="29" t="str">
        <f>INDEX(Projects!$D:$D,MATCH(tbl_Tasks_Clean[[#This Row],[Project_ID]],Projects!$A:$A,0))</f>
        <v>Ahmed Nabil</v>
      </c>
      <c r="Z91" s="29" t="str">
        <f>IF(tbl_Tasks_Clean[[#This Row],[Delay_Days]]&gt;0,"Delayed by "&amp;TEXT(tbl_Tasks_Clean[[#This Row],[Delay_Days]],"0")&amp;" days",IF(tbl_Tasks_Clean[[#This Row],[Delay_Days]]&lt;0,"Early by "&amp;TEXT(-tbl_Tasks_Clean[[#This Row],[Delay_Days]],"0")&amp;" days","On schedule"))</f>
        <v>On schedule</v>
      </c>
    </row>
    <row r="92" spans="1:26" x14ac:dyDescent="0.3">
      <c r="A92" t="s">
        <v>665</v>
      </c>
      <c r="B92" t="s">
        <v>109</v>
      </c>
      <c r="C92" t="s">
        <v>110</v>
      </c>
      <c r="D92" t="s">
        <v>666</v>
      </c>
      <c r="E92" t="s">
        <v>187</v>
      </c>
      <c r="F92" t="s">
        <v>203</v>
      </c>
      <c r="G92" t="s">
        <v>350</v>
      </c>
      <c r="H92" t="s">
        <v>430</v>
      </c>
      <c r="I92">
        <v>2500</v>
      </c>
      <c r="J92">
        <v>0</v>
      </c>
      <c r="K92" s="22">
        <v>45575</v>
      </c>
      <c r="L92" s="22">
        <v>45594</v>
      </c>
      <c r="M92" s="22"/>
      <c r="N92">
        <v>19</v>
      </c>
      <c r="O92">
        <v>0</v>
      </c>
      <c r="P92" t="s">
        <v>111</v>
      </c>
      <c r="Q92" t="s">
        <v>99</v>
      </c>
      <c r="R92">
        <v>120000</v>
      </c>
      <c r="S92" t="s">
        <v>197</v>
      </c>
      <c r="T92">
        <v>300</v>
      </c>
      <c r="U92" s="29">
        <f>tbl_Tasks_Clean[[#This Row],[Actual_Cost]]-tbl_Tasks_Clean[[#This Row],[Planned_Cost]]</f>
        <v>-2500</v>
      </c>
      <c r="V92" s="30">
        <f>IFERROR(tbl_Tasks_Clean[[#This Row],[Cost_Variance]]/tbl_Tasks_Clean[[#This Row],[Planned_Cost]],0)</f>
        <v>-1</v>
      </c>
      <c r="W92" t="str">
        <f>IF(AND(tbl_Tasks_Clean[[#This Row],[Status]]="Completed",tbl_Tasks_Clean[[#This Row],[Delay_Days]]&lt;=0),"On Time",IF(AND(tbl_Tasks_Clean[[#This Row],[Status]]="Completed",tbl_Tasks_Clean[[#This Row],[Delay_Days]]&gt;0),"Late","N/A"))</f>
        <v>N/A</v>
      </c>
      <c r="X92" s="29" t="str" cm="1">
        <f t="array" ref="X92">_xlfn.IFS(tbl_Tasks_Clean[[#This Row],[Planned_Duration_Days]]&lt;=7,"Short (&lt;=7 days)",tbl_Tasks_Clean[[#This Row],[Planned_Duration_Days]]&lt;=20,"Medium (8-20 days)",TRUE,"Long (&gt;20 days)")</f>
        <v>Medium (8-20 days)</v>
      </c>
      <c r="Y92" s="29" t="str">
        <f>INDEX(Projects!$D:$D,MATCH(tbl_Tasks_Clean[[#This Row],[Project_ID]],Projects!$A:$A,0))</f>
        <v>Laila Samir</v>
      </c>
      <c r="Z92" s="29" t="str">
        <f>IF(tbl_Tasks_Clean[[#This Row],[Delay_Days]]&gt;0,"Delayed by "&amp;TEXT(tbl_Tasks_Clean[[#This Row],[Delay_Days]],"0")&amp;" days",IF(tbl_Tasks_Clean[[#This Row],[Delay_Days]]&lt;0,"Early by "&amp;TEXT(-tbl_Tasks_Clean[[#This Row],[Delay_Days]],"0")&amp;" days","On schedule"))</f>
        <v>On schedule</v>
      </c>
    </row>
    <row r="93" spans="1:26" x14ac:dyDescent="0.3">
      <c r="A93" t="s">
        <v>668</v>
      </c>
      <c r="B93" t="s">
        <v>133</v>
      </c>
      <c r="C93" t="s">
        <v>134</v>
      </c>
      <c r="D93" t="s">
        <v>669</v>
      </c>
      <c r="E93" t="s">
        <v>177</v>
      </c>
      <c r="F93" t="s">
        <v>212</v>
      </c>
      <c r="G93" t="s">
        <v>350</v>
      </c>
      <c r="H93" t="s">
        <v>430</v>
      </c>
      <c r="I93">
        <v>3000</v>
      </c>
      <c r="J93">
        <v>0</v>
      </c>
      <c r="K93" s="22">
        <v>45523</v>
      </c>
      <c r="L93" s="22">
        <v>45528</v>
      </c>
      <c r="M93" s="22"/>
      <c r="N93">
        <v>5</v>
      </c>
      <c r="O93">
        <v>0</v>
      </c>
      <c r="P93" t="s">
        <v>111</v>
      </c>
      <c r="Q93" t="s">
        <v>116</v>
      </c>
      <c r="R93">
        <v>200000</v>
      </c>
      <c r="S93" t="s">
        <v>206</v>
      </c>
      <c r="T93">
        <v>180</v>
      </c>
      <c r="U93" s="29">
        <f>tbl_Tasks_Clean[[#This Row],[Actual_Cost]]-tbl_Tasks_Clean[[#This Row],[Planned_Cost]]</f>
        <v>-3000</v>
      </c>
      <c r="V93" s="30">
        <f>IFERROR(tbl_Tasks_Clean[[#This Row],[Cost_Variance]]/tbl_Tasks_Clean[[#This Row],[Planned_Cost]],0)</f>
        <v>-1</v>
      </c>
      <c r="W93" t="str">
        <f>IF(AND(tbl_Tasks_Clean[[#This Row],[Status]]="Completed",tbl_Tasks_Clean[[#This Row],[Delay_Days]]&lt;=0),"On Time",IF(AND(tbl_Tasks_Clean[[#This Row],[Status]]="Completed",tbl_Tasks_Clean[[#This Row],[Delay_Days]]&gt;0),"Late","N/A"))</f>
        <v>N/A</v>
      </c>
      <c r="X93" s="29" t="str" cm="1">
        <f t="array" ref="X93">_xlfn.IFS(tbl_Tasks_Clean[[#This Row],[Planned_Duration_Days]]&lt;=7,"Short (&lt;=7 days)",tbl_Tasks_Clean[[#This Row],[Planned_Duration_Days]]&lt;=20,"Medium (8-20 days)",TRUE,"Long (&gt;20 days)")</f>
        <v>Short (&lt;=7 days)</v>
      </c>
      <c r="Y93" s="29" t="str">
        <f>INDEX(Projects!$D:$D,MATCH(tbl_Tasks_Clean[[#This Row],[Project_ID]],Projects!$A:$A,0))</f>
        <v>Nourhan Tarek</v>
      </c>
      <c r="Z93" s="29" t="str">
        <f>IF(tbl_Tasks_Clean[[#This Row],[Delay_Days]]&gt;0,"Delayed by "&amp;TEXT(tbl_Tasks_Clean[[#This Row],[Delay_Days]],"0")&amp;" days",IF(tbl_Tasks_Clean[[#This Row],[Delay_Days]]&lt;0,"Early by "&amp;TEXT(-tbl_Tasks_Clean[[#This Row],[Delay_Days]],"0")&amp;" days","On schedule"))</f>
        <v>On schedule</v>
      </c>
    </row>
    <row r="94" spans="1:26" x14ac:dyDescent="0.3">
      <c r="A94" t="s">
        <v>672</v>
      </c>
      <c r="B94" t="s">
        <v>105</v>
      </c>
      <c r="C94" t="s">
        <v>106</v>
      </c>
      <c r="D94" t="s">
        <v>673</v>
      </c>
      <c r="F94" t="s">
        <v>183</v>
      </c>
      <c r="G94" t="s">
        <v>350</v>
      </c>
      <c r="H94" t="s">
        <v>276</v>
      </c>
      <c r="I94">
        <v>3000</v>
      </c>
      <c r="J94">
        <v>0</v>
      </c>
      <c r="K94" s="22">
        <v>45371</v>
      </c>
      <c r="L94" s="22">
        <v>45375</v>
      </c>
      <c r="M94" s="22"/>
      <c r="N94">
        <v>4</v>
      </c>
      <c r="O94">
        <v>0</v>
      </c>
      <c r="P94" t="s">
        <v>107</v>
      </c>
      <c r="Q94" t="s">
        <v>84</v>
      </c>
      <c r="R94">
        <v>120000</v>
      </c>
      <c r="S94" t="s">
        <v>177</v>
      </c>
      <c r="T94">
        <v>220</v>
      </c>
      <c r="U94" s="29">
        <f>tbl_Tasks_Clean[[#This Row],[Actual_Cost]]-tbl_Tasks_Clean[[#This Row],[Planned_Cost]]</f>
        <v>-3000</v>
      </c>
      <c r="V94" s="30">
        <f>IFERROR(tbl_Tasks_Clean[[#This Row],[Cost_Variance]]/tbl_Tasks_Clean[[#This Row],[Planned_Cost]],0)</f>
        <v>-1</v>
      </c>
      <c r="W94" t="str">
        <f>IF(AND(tbl_Tasks_Clean[[#This Row],[Status]]="Completed",tbl_Tasks_Clean[[#This Row],[Delay_Days]]&lt;=0),"On Time",IF(AND(tbl_Tasks_Clean[[#This Row],[Status]]="Completed",tbl_Tasks_Clean[[#This Row],[Delay_Days]]&gt;0),"Late","N/A"))</f>
        <v>N/A</v>
      </c>
      <c r="X94" s="29" t="str" cm="1">
        <f t="array" ref="X94">_xlfn.IFS(tbl_Tasks_Clean[[#This Row],[Planned_Duration_Days]]&lt;=7,"Short (&lt;=7 days)",tbl_Tasks_Clean[[#This Row],[Planned_Duration_Days]]&lt;=20,"Medium (8-20 days)",TRUE,"Long (&gt;20 days)")</f>
        <v>Short (&lt;=7 days)</v>
      </c>
      <c r="Y94" s="29" t="str">
        <f>INDEX(Projects!$D:$D,MATCH(tbl_Tasks_Clean[[#This Row],[Project_ID]],Projects!$A:$A,0))</f>
        <v>Mona Farid</v>
      </c>
      <c r="Z94" s="29" t="str">
        <f>IF(tbl_Tasks_Clean[[#This Row],[Delay_Days]]&gt;0,"Delayed by "&amp;TEXT(tbl_Tasks_Clean[[#This Row],[Delay_Days]],"0")&amp;" days",IF(tbl_Tasks_Clean[[#This Row],[Delay_Days]]&lt;0,"Early by "&amp;TEXT(-tbl_Tasks_Clean[[#This Row],[Delay_Days]],"0")&amp;" days","On schedule"))</f>
        <v>On schedule</v>
      </c>
    </row>
    <row r="95" spans="1:26" x14ac:dyDescent="0.3">
      <c r="A95" t="s">
        <v>676</v>
      </c>
      <c r="B95" t="s">
        <v>129</v>
      </c>
      <c r="C95" t="s">
        <v>130</v>
      </c>
      <c r="D95" t="s">
        <v>677</v>
      </c>
      <c r="E95" t="s">
        <v>1435</v>
      </c>
      <c r="F95" t="s">
        <v>149</v>
      </c>
      <c r="G95" t="s">
        <v>350</v>
      </c>
      <c r="H95" t="s">
        <v>287</v>
      </c>
      <c r="I95">
        <v>2000</v>
      </c>
      <c r="J95">
        <v>653</v>
      </c>
      <c r="K95" s="22">
        <v>45372</v>
      </c>
      <c r="L95" s="22">
        <v>45398</v>
      </c>
      <c r="M95" s="22"/>
      <c r="N95">
        <v>26</v>
      </c>
      <c r="O95">
        <v>0</v>
      </c>
      <c r="P95" t="s">
        <v>131</v>
      </c>
      <c r="Q95" t="s">
        <v>94</v>
      </c>
      <c r="R95">
        <v>250000</v>
      </c>
      <c r="S95" t="s">
        <v>150</v>
      </c>
      <c r="T95">
        <v>150</v>
      </c>
      <c r="U95" s="29">
        <f>tbl_Tasks_Clean[[#This Row],[Actual_Cost]]-tbl_Tasks_Clean[[#This Row],[Planned_Cost]]</f>
        <v>-1347</v>
      </c>
      <c r="V95" s="30">
        <f>IFERROR(tbl_Tasks_Clean[[#This Row],[Cost_Variance]]/tbl_Tasks_Clean[[#This Row],[Planned_Cost]],0)</f>
        <v>-0.67349999999999999</v>
      </c>
      <c r="W95" t="str">
        <f>IF(AND(tbl_Tasks_Clean[[#This Row],[Status]]="Completed",tbl_Tasks_Clean[[#This Row],[Delay_Days]]&lt;=0),"On Time",IF(AND(tbl_Tasks_Clean[[#This Row],[Status]]="Completed",tbl_Tasks_Clean[[#This Row],[Delay_Days]]&gt;0),"Late","N/A"))</f>
        <v>N/A</v>
      </c>
      <c r="X95" s="29" t="str" cm="1">
        <f t="array" ref="X95">_xlfn.IFS(tbl_Tasks_Clean[[#This Row],[Planned_Duration_Days]]&lt;=7,"Short (&lt;=7 days)",tbl_Tasks_Clean[[#This Row],[Planned_Duration_Days]]&lt;=20,"Medium (8-20 days)",TRUE,"Long (&gt;20 days)")</f>
        <v>Long (&gt;20 days)</v>
      </c>
      <c r="Y95" s="29" t="str">
        <f>INDEX(Projects!$D:$D,MATCH(tbl_Tasks_Clean[[#This Row],[Project_ID]],Projects!$A:$A,0))</f>
        <v>Ahmed Nabil</v>
      </c>
      <c r="Z95" s="29" t="str">
        <f>IF(tbl_Tasks_Clean[[#This Row],[Delay_Days]]&gt;0,"Delayed by "&amp;TEXT(tbl_Tasks_Clean[[#This Row],[Delay_Days]],"0")&amp;" days",IF(tbl_Tasks_Clean[[#This Row],[Delay_Days]]&lt;0,"Early by "&amp;TEXT(-tbl_Tasks_Clean[[#This Row],[Delay_Days]],"0")&amp;" days","On schedule"))</f>
        <v>On schedule</v>
      </c>
    </row>
    <row r="96" spans="1:26" x14ac:dyDescent="0.3">
      <c r="A96" t="s">
        <v>680</v>
      </c>
      <c r="B96" t="s">
        <v>109</v>
      </c>
      <c r="C96" t="s">
        <v>110</v>
      </c>
      <c r="D96" t="s">
        <v>681</v>
      </c>
      <c r="E96" t="s">
        <v>177</v>
      </c>
      <c r="F96" t="s">
        <v>1439</v>
      </c>
      <c r="G96" t="s">
        <v>250</v>
      </c>
      <c r="H96" t="s">
        <v>356</v>
      </c>
      <c r="I96">
        <v>6000</v>
      </c>
      <c r="J96">
        <v>5346</v>
      </c>
      <c r="K96" s="22">
        <v>45469</v>
      </c>
      <c r="L96" s="22">
        <v>45499</v>
      </c>
      <c r="M96" s="22">
        <v>45500</v>
      </c>
      <c r="N96">
        <v>30</v>
      </c>
      <c r="O96">
        <v>1</v>
      </c>
      <c r="P96" t="s">
        <v>111</v>
      </c>
      <c r="Q96" t="s">
        <v>99</v>
      </c>
      <c r="R96">
        <v>120000</v>
      </c>
      <c r="U96" s="29">
        <f>tbl_Tasks_Clean[[#This Row],[Actual_Cost]]-tbl_Tasks_Clean[[#This Row],[Planned_Cost]]</f>
        <v>-654</v>
      </c>
      <c r="V96" s="30">
        <f>IFERROR(tbl_Tasks_Clean[[#This Row],[Cost_Variance]]/tbl_Tasks_Clean[[#This Row],[Planned_Cost]],0)</f>
        <v>-0.109</v>
      </c>
      <c r="W96" t="str">
        <f>IF(AND(tbl_Tasks_Clean[[#This Row],[Status]]="Completed",tbl_Tasks_Clean[[#This Row],[Delay_Days]]&lt;=0),"On Time",IF(AND(tbl_Tasks_Clean[[#This Row],[Status]]="Completed",tbl_Tasks_Clean[[#This Row],[Delay_Days]]&gt;0),"Late","N/A"))</f>
        <v>N/A</v>
      </c>
      <c r="X96" s="29" t="str" cm="1">
        <f t="array" ref="X96">_xlfn.IFS(tbl_Tasks_Clean[[#This Row],[Planned_Duration_Days]]&lt;=7,"Short (&lt;=7 days)",tbl_Tasks_Clean[[#This Row],[Planned_Duration_Days]]&lt;=20,"Medium (8-20 days)",TRUE,"Long (&gt;20 days)")</f>
        <v>Long (&gt;20 days)</v>
      </c>
      <c r="Y96" s="29" t="str">
        <f>INDEX(Projects!$D:$D,MATCH(tbl_Tasks_Clean[[#This Row],[Project_ID]],Projects!$A:$A,0))</f>
        <v>Laila Samir</v>
      </c>
      <c r="Z96" s="29" t="str">
        <f>IF(tbl_Tasks_Clean[[#This Row],[Delay_Days]]&gt;0,"Delayed by "&amp;TEXT(tbl_Tasks_Clean[[#This Row],[Delay_Days]],"0")&amp;" days",IF(tbl_Tasks_Clean[[#This Row],[Delay_Days]]&lt;0,"Early by "&amp;TEXT(-tbl_Tasks_Clean[[#This Row],[Delay_Days]],"0")&amp;" days","On schedule"))</f>
        <v>Delayed by 1 days</v>
      </c>
    </row>
    <row r="97" spans="1:26" x14ac:dyDescent="0.3">
      <c r="A97" t="s">
        <v>685</v>
      </c>
      <c r="B97" t="s">
        <v>133</v>
      </c>
      <c r="C97" t="s">
        <v>134</v>
      </c>
      <c r="D97" t="s">
        <v>686</v>
      </c>
      <c r="E97" t="s">
        <v>1435</v>
      </c>
      <c r="F97" t="s">
        <v>216</v>
      </c>
      <c r="G97" t="s">
        <v>350</v>
      </c>
      <c r="H97" t="s">
        <v>319</v>
      </c>
      <c r="I97">
        <v>10000</v>
      </c>
      <c r="J97">
        <v>7208</v>
      </c>
      <c r="K97" s="22">
        <v>45498</v>
      </c>
      <c r="L97" s="22">
        <v>45504</v>
      </c>
      <c r="M97" s="22"/>
      <c r="N97">
        <v>6</v>
      </c>
      <c r="O97">
        <v>0</v>
      </c>
      <c r="P97" t="s">
        <v>111</v>
      </c>
      <c r="Q97" t="s">
        <v>116</v>
      </c>
      <c r="R97">
        <v>200000</v>
      </c>
      <c r="S97" t="s">
        <v>206</v>
      </c>
      <c r="T97">
        <v>200</v>
      </c>
      <c r="U97" s="29">
        <f>tbl_Tasks_Clean[[#This Row],[Actual_Cost]]-tbl_Tasks_Clean[[#This Row],[Planned_Cost]]</f>
        <v>-2792</v>
      </c>
      <c r="V97" s="30">
        <f>IFERROR(tbl_Tasks_Clean[[#This Row],[Cost_Variance]]/tbl_Tasks_Clean[[#This Row],[Planned_Cost]],0)</f>
        <v>-0.2792</v>
      </c>
      <c r="W97" t="str">
        <f>IF(AND(tbl_Tasks_Clean[[#This Row],[Status]]="Completed",tbl_Tasks_Clean[[#This Row],[Delay_Days]]&lt;=0),"On Time",IF(AND(tbl_Tasks_Clean[[#This Row],[Status]]="Completed",tbl_Tasks_Clean[[#This Row],[Delay_Days]]&gt;0),"Late","N/A"))</f>
        <v>N/A</v>
      </c>
      <c r="X97" s="29" t="str" cm="1">
        <f t="array" ref="X97">_xlfn.IFS(tbl_Tasks_Clean[[#This Row],[Planned_Duration_Days]]&lt;=7,"Short (&lt;=7 days)",tbl_Tasks_Clean[[#This Row],[Planned_Duration_Days]]&lt;=20,"Medium (8-20 days)",TRUE,"Long (&gt;20 days)")</f>
        <v>Short (&lt;=7 days)</v>
      </c>
      <c r="Y97" s="29" t="str">
        <f>INDEX(Projects!$D:$D,MATCH(tbl_Tasks_Clean[[#This Row],[Project_ID]],Projects!$A:$A,0))</f>
        <v>Nourhan Tarek</v>
      </c>
      <c r="Z97" s="29" t="str">
        <f>IF(tbl_Tasks_Clean[[#This Row],[Delay_Days]]&gt;0,"Delayed by "&amp;TEXT(tbl_Tasks_Clean[[#This Row],[Delay_Days]],"0")&amp;" days",IF(tbl_Tasks_Clean[[#This Row],[Delay_Days]]&lt;0,"Early by "&amp;TEXT(-tbl_Tasks_Clean[[#This Row],[Delay_Days]],"0")&amp;" days","On schedule"))</f>
        <v>On schedule</v>
      </c>
    </row>
    <row r="98" spans="1:26" x14ac:dyDescent="0.3">
      <c r="A98" t="s">
        <v>689</v>
      </c>
      <c r="B98" t="s">
        <v>86</v>
      </c>
      <c r="C98" t="s">
        <v>87</v>
      </c>
      <c r="D98" t="s">
        <v>274</v>
      </c>
      <c r="E98" t="s">
        <v>206</v>
      </c>
      <c r="F98" t="s">
        <v>214</v>
      </c>
      <c r="G98" t="s">
        <v>281</v>
      </c>
      <c r="H98" t="s">
        <v>314</v>
      </c>
      <c r="I98">
        <v>10000</v>
      </c>
      <c r="J98">
        <v>13746</v>
      </c>
      <c r="K98" s="22">
        <v>45575</v>
      </c>
      <c r="L98" s="22">
        <v>45583</v>
      </c>
      <c r="M98" s="22">
        <v>45584</v>
      </c>
      <c r="N98">
        <v>8</v>
      </c>
      <c r="O98">
        <v>1</v>
      </c>
      <c r="P98" t="s">
        <v>88</v>
      </c>
      <c r="Q98" t="s">
        <v>89</v>
      </c>
      <c r="R98">
        <v>150000</v>
      </c>
      <c r="S98" t="s">
        <v>206</v>
      </c>
      <c r="T98">
        <v>180</v>
      </c>
      <c r="U98" s="29">
        <f>tbl_Tasks_Clean[[#This Row],[Actual_Cost]]-tbl_Tasks_Clean[[#This Row],[Planned_Cost]]</f>
        <v>3746</v>
      </c>
      <c r="V98" s="30">
        <f>IFERROR(tbl_Tasks_Clean[[#This Row],[Cost_Variance]]/tbl_Tasks_Clean[[#This Row],[Planned_Cost]],0)</f>
        <v>0.37459999999999999</v>
      </c>
      <c r="W98" t="str">
        <f>IF(AND(tbl_Tasks_Clean[[#This Row],[Status]]="Completed",tbl_Tasks_Clean[[#This Row],[Delay_Days]]&lt;=0),"On Time",IF(AND(tbl_Tasks_Clean[[#This Row],[Status]]="Completed",tbl_Tasks_Clean[[#This Row],[Delay_Days]]&gt;0),"Late","N/A"))</f>
        <v>Late</v>
      </c>
      <c r="X98" s="29" t="str" cm="1">
        <f t="array" ref="X98">_xlfn.IFS(tbl_Tasks_Clean[[#This Row],[Planned_Duration_Days]]&lt;=7,"Short (&lt;=7 days)",tbl_Tasks_Clean[[#This Row],[Planned_Duration_Days]]&lt;=20,"Medium (8-20 days)",TRUE,"Long (&gt;20 days)")</f>
        <v>Medium (8-20 days)</v>
      </c>
      <c r="Y98" s="29" t="str">
        <f>INDEX(Projects!$D:$D,MATCH(tbl_Tasks_Clean[[#This Row],[Project_ID]],Projects!$A:$A,0))</f>
        <v>Youssef Adel</v>
      </c>
      <c r="Z98" s="29" t="str">
        <f>IF(tbl_Tasks_Clean[[#This Row],[Delay_Days]]&gt;0,"Delayed by "&amp;TEXT(tbl_Tasks_Clean[[#This Row],[Delay_Days]],"0")&amp;" days",IF(tbl_Tasks_Clean[[#This Row],[Delay_Days]]&lt;0,"Early by "&amp;TEXT(-tbl_Tasks_Clean[[#This Row],[Delay_Days]],"0")&amp;" days","On schedule"))</f>
        <v>Delayed by 1 days</v>
      </c>
    </row>
    <row r="99" spans="1:26" x14ac:dyDescent="0.3">
      <c r="A99" t="s">
        <v>694</v>
      </c>
      <c r="B99" t="s">
        <v>86</v>
      </c>
      <c r="C99" t="s">
        <v>87</v>
      </c>
      <c r="D99" t="s">
        <v>695</v>
      </c>
      <c r="E99" t="s">
        <v>150</v>
      </c>
      <c r="F99" t="s">
        <v>186</v>
      </c>
      <c r="G99" t="s">
        <v>281</v>
      </c>
      <c r="H99" t="s">
        <v>314</v>
      </c>
      <c r="I99">
        <v>6000</v>
      </c>
      <c r="J99">
        <v>7171</v>
      </c>
      <c r="K99" s="22"/>
      <c r="L99" s="22"/>
      <c r="M99" s="22"/>
      <c r="O99">
        <v>0</v>
      </c>
      <c r="P99" t="s">
        <v>88</v>
      </c>
      <c r="Q99" t="s">
        <v>89</v>
      </c>
      <c r="R99">
        <v>150000</v>
      </c>
      <c r="S99" t="s">
        <v>187</v>
      </c>
      <c r="T99">
        <v>220</v>
      </c>
      <c r="U99" s="29">
        <f>tbl_Tasks_Clean[[#This Row],[Actual_Cost]]-tbl_Tasks_Clean[[#This Row],[Planned_Cost]]</f>
        <v>1171</v>
      </c>
      <c r="V99" s="30">
        <f>IFERROR(tbl_Tasks_Clean[[#This Row],[Cost_Variance]]/tbl_Tasks_Clean[[#This Row],[Planned_Cost]],0)</f>
        <v>0.19516666666666665</v>
      </c>
      <c r="W99" t="str">
        <f>IF(AND(tbl_Tasks_Clean[[#This Row],[Status]]="Completed",tbl_Tasks_Clean[[#This Row],[Delay_Days]]&lt;=0),"On Time",IF(AND(tbl_Tasks_Clean[[#This Row],[Status]]="Completed",tbl_Tasks_Clean[[#This Row],[Delay_Days]]&gt;0),"Late","N/A"))</f>
        <v>On Time</v>
      </c>
      <c r="X99" s="29" t="str" cm="1">
        <f t="array" ref="X99">_xlfn.IFS(tbl_Tasks_Clean[[#This Row],[Planned_Duration_Days]]&lt;=7,"Short (&lt;=7 days)",tbl_Tasks_Clean[[#This Row],[Planned_Duration_Days]]&lt;=20,"Medium (8-20 days)",TRUE,"Long (&gt;20 days)")</f>
        <v>Short (&lt;=7 days)</v>
      </c>
      <c r="Y99" s="29" t="str">
        <f>INDEX(Projects!$D:$D,MATCH(tbl_Tasks_Clean[[#This Row],[Project_ID]],Projects!$A:$A,0))</f>
        <v>Youssef Adel</v>
      </c>
      <c r="Z99" s="29" t="str">
        <f>IF(tbl_Tasks_Clean[[#This Row],[Delay_Days]]&gt;0,"Delayed by "&amp;TEXT(tbl_Tasks_Clean[[#This Row],[Delay_Days]],"0")&amp;" days",IF(tbl_Tasks_Clean[[#This Row],[Delay_Days]]&lt;0,"Early by "&amp;TEXT(-tbl_Tasks_Clean[[#This Row],[Delay_Days]],"0")&amp;" days","On schedule"))</f>
        <v>On schedule</v>
      </c>
    </row>
    <row r="100" spans="1:26" x14ac:dyDescent="0.3">
      <c r="A100" t="s">
        <v>699</v>
      </c>
      <c r="B100" t="s">
        <v>96</v>
      </c>
      <c r="C100" t="s">
        <v>97</v>
      </c>
      <c r="D100" t="s">
        <v>496</v>
      </c>
      <c r="E100" t="s">
        <v>187</v>
      </c>
      <c r="F100" t="s">
        <v>153</v>
      </c>
      <c r="G100" t="s">
        <v>281</v>
      </c>
      <c r="H100" t="s">
        <v>314</v>
      </c>
      <c r="I100">
        <v>10000</v>
      </c>
      <c r="J100">
        <v>7595</v>
      </c>
      <c r="K100" s="22"/>
      <c r="L100" s="22"/>
      <c r="M100" s="22"/>
      <c r="O100">
        <v>0</v>
      </c>
      <c r="P100" t="s">
        <v>98</v>
      </c>
      <c r="Q100" t="s">
        <v>99</v>
      </c>
      <c r="R100">
        <v>75000</v>
      </c>
      <c r="S100" t="s">
        <v>150</v>
      </c>
      <c r="T100">
        <v>220</v>
      </c>
      <c r="U100" s="29">
        <f>tbl_Tasks_Clean[[#This Row],[Actual_Cost]]-tbl_Tasks_Clean[[#This Row],[Planned_Cost]]</f>
        <v>-2405</v>
      </c>
      <c r="V100" s="30">
        <f>IFERROR(tbl_Tasks_Clean[[#This Row],[Cost_Variance]]/tbl_Tasks_Clean[[#This Row],[Planned_Cost]],0)</f>
        <v>-0.24049999999999999</v>
      </c>
      <c r="W100" t="str">
        <f>IF(AND(tbl_Tasks_Clean[[#This Row],[Status]]="Completed",tbl_Tasks_Clean[[#This Row],[Delay_Days]]&lt;=0),"On Time",IF(AND(tbl_Tasks_Clean[[#This Row],[Status]]="Completed",tbl_Tasks_Clean[[#This Row],[Delay_Days]]&gt;0),"Late","N/A"))</f>
        <v>On Time</v>
      </c>
      <c r="X100" s="29" t="str" cm="1">
        <f t="array" ref="X100">_xlfn.IFS(tbl_Tasks_Clean[[#This Row],[Planned_Duration_Days]]&lt;=7,"Short (&lt;=7 days)",tbl_Tasks_Clean[[#This Row],[Planned_Duration_Days]]&lt;=20,"Medium (8-20 days)",TRUE,"Long (&gt;20 days)")</f>
        <v>Short (&lt;=7 days)</v>
      </c>
      <c r="Y100" s="29" t="str">
        <f>INDEX(Projects!$D:$D,MATCH(tbl_Tasks_Clean[[#This Row],[Project_ID]],Projects!$A:$A,0))</f>
        <v>Laila Samir</v>
      </c>
      <c r="Z100" s="29" t="str">
        <f>IF(tbl_Tasks_Clean[[#This Row],[Delay_Days]]&gt;0,"Delayed by "&amp;TEXT(tbl_Tasks_Clean[[#This Row],[Delay_Days]],"0")&amp;" days",IF(tbl_Tasks_Clean[[#This Row],[Delay_Days]]&lt;0,"Early by "&amp;TEXT(-tbl_Tasks_Clean[[#This Row],[Delay_Days]],"0")&amp;" days","On schedule"))</f>
        <v>On schedule</v>
      </c>
    </row>
    <row r="101" spans="1:26" x14ac:dyDescent="0.3">
      <c r="A101" t="s">
        <v>704</v>
      </c>
      <c r="B101" t="s">
        <v>113</v>
      </c>
      <c r="C101" t="s">
        <v>114</v>
      </c>
      <c r="D101" t="s">
        <v>705</v>
      </c>
      <c r="E101" t="s">
        <v>197</v>
      </c>
      <c r="F101" t="s">
        <v>200</v>
      </c>
      <c r="G101" t="s">
        <v>281</v>
      </c>
      <c r="H101" t="s">
        <v>287</v>
      </c>
      <c r="I101">
        <v>2500</v>
      </c>
      <c r="J101">
        <v>1388</v>
      </c>
      <c r="K101" s="22"/>
      <c r="L101" s="22"/>
      <c r="M101" s="22"/>
      <c r="O101">
        <v>0</v>
      </c>
      <c r="P101" t="s">
        <v>115</v>
      </c>
      <c r="Q101" t="s">
        <v>116</v>
      </c>
      <c r="R101">
        <v>300000</v>
      </c>
      <c r="S101" t="s">
        <v>197</v>
      </c>
      <c r="T101">
        <v>150</v>
      </c>
      <c r="U101" s="29">
        <f>tbl_Tasks_Clean[[#This Row],[Actual_Cost]]-tbl_Tasks_Clean[[#This Row],[Planned_Cost]]</f>
        <v>-1112</v>
      </c>
      <c r="V101" s="30">
        <f>IFERROR(tbl_Tasks_Clean[[#This Row],[Cost_Variance]]/tbl_Tasks_Clean[[#This Row],[Planned_Cost]],0)</f>
        <v>-0.44479999999999997</v>
      </c>
      <c r="W101" t="str">
        <f>IF(AND(tbl_Tasks_Clean[[#This Row],[Status]]="Completed",tbl_Tasks_Clean[[#This Row],[Delay_Days]]&lt;=0),"On Time",IF(AND(tbl_Tasks_Clean[[#This Row],[Status]]="Completed",tbl_Tasks_Clean[[#This Row],[Delay_Days]]&gt;0),"Late","N/A"))</f>
        <v>N/A</v>
      </c>
      <c r="X101" s="29" t="str" cm="1">
        <f t="array" ref="X101">_xlfn.IFS(tbl_Tasks_Clean[[#This Row],[Planned_Duration_Days]]&lt;=7,"Short (&lt;=7 days)",tbl_Tasks_Clean[[#This Row],[Planned_Duration_Days]]&lt;=20,"Medium (8-20 days)",TRUE,"Long (&gt;20 days)")</f>
        <v>Short (&lt;=7 days)</v>
      </c>
      <c r="Y101" s="29" t="str">
        <f>INDEX(Projects!$D:$D,MATCH(tbl_Tasks_Clean[[#This Row],[Project_ID]],Projects!$A:$A,0))</f>
        <v>Nourhan Tarek</v>
      </c>
      <c r="Z101" s="29" t="str">
        <f>IF(tbl_Tasks_Clean[[#This Row],[Delay_Days]]&gt;0,"Delayed by "&amp;TEXT(tbl_Tasks_Clean[[#This Row],[Delay_Days]],"0")&amp;" days",IF(tbl_Tasks_Clean[[#This Row],[Delay_Days]]&lt;0,"Early by "&amp;TEXT(-tbl_Tasks_Clean[[#This Row],[Delay_Days]],"0")&amp;" days","On schedule"))</f>
        <v>On schedule</v>
      </c>
    </row>
    <row r="102" spans="1:26" x14ac:dyDescent="0.3">
      <c r="A102" t="s">
        <v>709</v>
      </c>
      <c r="B102" t="s">
        <v>129</v>
      </c>
      <c r="C102" t="s">
        <v>130</v>
      </c>
      <c r="D102" t="s">
        <v>710</v>
      </c>
      <c r="E102" t="s">
        <v>150</v>
      </c>
      <c r="F102" t="s">
        <v>209</v>
      </c>
      <c r="G102" t="s">
        <v>350</v>
      </c>
      <c r="H102" t="s">
        <v>287</v>
      </c>
      <c r="I102">
        <v>1000</v>
      </c>
      <c r="J102">
        <v>606</v>
      </c>
      <c r="K102" s="22"/>
      <c r="L102" s="22"/>
      <c r="M102" s="22"/>
      <c r="O102">
        <v>0</v>
      </c>
      <c r="P102" t="s">
        <v>131</v>
      </c>
      <c r="Q102" t="s">
        <v>94</v>
      </c>
      <c r="R102">
        <v>250000</v>
      </c>
      <c r="S102" t="s">
        <v>206</v>
      </c>
      <c r="T102">
        <v>250</v>
      </c>
      <c r="U102" s="29">
        <f>tbl_Tasks_Clean[[#This Row],[Actual_Cost]]-tbl_Tasks_Clean[[#This Row],[Planned_Cost]]</f>
        <v>-394</v>
      </c>
      <c r="V102" s="30">
        <f>IFERROR(tbl_Tasks_Clean[[#This Row],[Cost_Variance]]/tbl_Tasks_Clean[[#This Row],[Planned_Cost]],0)</f>
        <v>-0.39400000000000002</v>
      </c>
      <c r="W102" t="str">
        <f>IF(AND(tbl_Tasks_Clean[[#This Row],[Status]]="Completed",tbl_Tasks_Clean[[#This Row],[Delay_Days]]&lt;=0),"On Time",IF(AND(tbl_Tasks_Clean[[#This Row],[Status]]="Completed",tbl_Tasks_Clean[[#This Row],[Delay_Days]]&gt;0),"Late","N/A"))</f>
        <v>N/A</v>
      </c>
      <c r="X102" s="29" t="str" cm="1">
        <f t="array" ref="X102">_xlfn.IFS(tbl_Tasks_Clean[[#This Row],[Planned_Duration_Days]]&lt;=7,"Short (&lt;=7 days)",tbl_Tasks_Clean[[#This Row],[Planned_Duration_Days]]&lt;=20,"Medium (8-20 days)",TRUE,"Long (&gt;20 days)")</f>
        <v>Short (&lt;=7 days)</v>
      </c>
      <c r="Y102" s="29" t="str">
        <f>INDEX(Projects!$D:$D,MATCH(tbl_Tasks_Clean[[#This Row],[Project_ID]],Projects!$A:$A,0))</f>
        <v>Ahmed Nabil</v>
      </c>
      <c r="Z102" s="29" t="str">
        <f>IF(tbl_Tasks_Clean[[#This Row],[Delay_Days]]&gt;0,"Delayed by "&amp;TEXT(tbl_Tasks_Clean[[#This Row],[Delay_Days]],"0")&amp;" days",IF(tbl_Tasks_Clean[[#This Row],[Delay_Days]]&lt;0,"Early by "&amp;TEXT(-tbl_Tasks_Clean[[#This Row],[Delay_Days]],"0")&amp;" days","On schedule"))</f>
        <v>On schedule</v>
      </c>
    </row>
    <row r="103" spans="1:26" x14ac:dyDescent="0.3">
      <c r="A103" t="s">
        <v>713</v>
      </c>
      <c r="B103" t="s">
        <v>129</v>
      </c>
      <c r="C103" t="s">
        <v>130</v>
      </c>
      <c r="D103" t="s">
        <v>714</v>
      </c>
      <c r="E103" t="s">
        <v>150</v>
      </c>
      <c r="F103" t="s">
        <v>158</v>
      </c>
      <c r="G103" t="s">
        <v>250</v>
      </c>
      <c r="H103" t="s">
        <v>269</v>
      </c>
      <c r="I103">
        <v>1000</v>
      </c>
      <c r="J103">
        <v>734</v>
      </c>
      <c r="K103" s="22">
        <v>45327</v>
      </c>
      <c r="L103" s="22">
        <v>45351</v>
      </c>
      <c r="M103" s="22">
        <v>45351</v>
      </c>
      <c r="N103">
        <v>24</v>
      </c>
      <c r="O103">
        <v>0</v>
      </c>
      <c r="P103" t="s">
        <v>131</v>
      </c>
      <c r="Q103" t="s">
        <v>94</v>
      </c>
      <c r="R103">
        <v>250000</v>
      </c>
      <c r="S103" t="s">
        <v>150</v>
      </c>
      <c r="T103">
        <v>180</v>
      </c>
      <c r="U103" s="29">
        <f>tbl_Tasks_Clean[[#This Row],[Actual_Cost]]-tbl_Tasks_Clean[[#This Row],[Planned_Cost]]</f>
        <v>-266</v>
      </c>
      <c r="V103" s="30">
        <f>IFERROR(tbl_Tasks_Clean[[#This Row],[Cost_Variance]]/tbl_Tasks_Clean[[#This Row],[Planned_Cost]],0)</f>
        <v>-0.26600000000000001</v>
      </c>
      <c r="W103" t="str">
        <f>IF(AND(tbl_Tasks_Clean[[#This Row],[Status]]="Completed",tbl_Tasks_Clean[[#This Row],[Delay_Days]]&lt;=0),"On Time",IF(AND(tbl_Tasks_Clean[[#This Row],[Status]]="Completed",tbl_Tasks_Clean[[#This Row],[Delay_Days]]&gt;0),"Late","N/A"))</f>
        <v>N/A</v>
      </c>
      <c r="X103" s="29" t="str" cm="1">
        <f t="array" ref="X103">_xlfn.IFS(tbl_Tasks_Clean[[#This Row],[Planned_Duration_Days]]&lt;=7,"Short (&lt;=7 days)",tbl_Tasks_Clean[[#This Row],[Planned_Duration_Days]]&lt;=20,"Medium (8-20 days)",TRUE,"Long (&gt;20 days)")</f>
        <v>Long (&gt;20 days)</v>
      </c>
      <c r="Y103" s="29" t="str">
        <f>INDEX(Projects!$D:$D,MATCH(tbl_Tasks_Clean[[#This Row],[Project_ID]],Projects!$A:$A,0))</f>
        <v>Ahmed Nabil</v>
      </c>
      <c r="Z103" s="29" t="str">
        <f>IF(tbl_Tasks_Clean[[#This Row],[Delay_Days]]&gt;0,"Delayed by "&amp;TEXT(tbl_Tasks_Clean[[#This Row],[Delay_Days]],"0")&amp;" days",IF(tbl_Tasks_Clean[[#This Row],[Delay_Days]]&lt;0,"Early by "&amp;TEXT(-tbl_Tasks_Clean[[#This Row],[Delay_Days]],"0")&amp;" days","On schedule"))</f>
        <v>On schedule</v>
      </c>
    </row>
    <row r="104" spans="1:26" x14ac:dyDescent="0.3">
      <c r="A104" t="s">
        <v>717</v>
      </c>
      <c r="B104" t="s">
        <v>113</v>
      </c>
      <c r="C104" t="s">
        <v>114</v>
      </c>
      <c r="D104" t="s">
        <v>718</v>
      </c>
      <c r="E104" t="s">
        <v>177</v>
      </c>
      <c r="F104" t="s">
        <v>200</v>
      </c>
      <c r="G104" t="s">
        <v>281</v>
      </c>
      <c r="H104" t="s">
        <v>269</v>
      </c>
      <c r="I104">
        <v>8000</v>
      </c>
      <c r="J104">
        <v>8335</v>
      </c>
      <c r="K104" s="22">
        <v>45438</v>
      </c>
      <c r="L104" s="22">
        <v>45446</v>
      </c>
      <c r="M104" s="22">
        <v>45447</v>
      </c>
      <c r="N104">
        <v>8</v>
      </c>
      <c r="O104">
        <v>1</v>
      </c>
      <c r="P104" t="s">
        <v>115</v>
      </c>
      <c r="Q104" t="s">
        <v>116</v>
      </c>
      <c r="R104">
        <v>300000</v>
      </c>
      <c r="S104" t="s">
        <v>197</v>
      </c>
      <c r="T104">
        <v>150</v>
      </c>
      <c r="U104" s="29">
        <f>tbl_Tasks_Clean[[#This Row],[Actual_Cost]]-tbl_Tasks_Clean[[#This Row],[Planned_Cost]]</f>
        <v>335</v>
      </c>
      <c r="V104" s="30">
        <f>IFERROR(tbl_Tasks_Clean[[#This Row],[Cost_Variance]]/tbl_Tasks_Clean[[#This Row],[Planned_Cost]],0)</f>
        <v>4.1875000000000002E-2</v>
      </c>
      <c r="W104" t="str">
        <f>IF(AND(tbl_Tasks_Clean[[#This Row],[Status]]="Completed",tbl_Tasks_Clean[[#This Row],[Delay_Days]]&lt;=0),"On Time",IF(AND(tbl_Tasks_Clean[[#This Row],[Status]]="Completed",tbl_Tasks_Clean[[#This Row],[Delay_Days]]&gt;0),"Late","N/A"))</f>
        <v>N/A</v>
      </c>
      <c r="X104" s="29" t="str" cm="1">
        <f t="array" ref="X104">_xlfn.IFS(tbl_Tasks_Clean[[#This Row],[Planned_Duration_Days]]&lt;=7,"Short (&lt;=7 days)",tbl_Tasks_Clean[[#This Row],[Planned_Duration_Days]]&lt;=20,"Medium (8-20 days)",TRUE,"Long (&gt;20 days)")</f>
        <v>Medium (8-20 days)</v>
      </c>
      <c r="Y104" s="29" t="str">
        <f>INDEX(Projects!$D:$D,MATCH(tbl_Tasks_Clean[[#This Row],[Project_ID]],Projects!$A:$A,0))</f>
        <v>Nourhan Tarek</v>
      </c>
      <c r="Z104" s="29" t="str">
        <f>IF(tbl_Tasks_Clean[[#This Row],[Delay_Days]]&gt;0,"Delayed by "&amp;TEXT(tbl_Tasks_Clean[[#This Row],[Delay_Days]],"0")&amp;" days",IF(tbl_Tasks_Clean[[#This Row],[Delay_Days]]&lt;0,"Early by "&amp;TEXT(-tbl_Tasks_Clean[[#This Row],[Delay_Days]],"0")&amp;" days","On schedule"))</f>
        <v>Delayed by 1 days</v>
      </c>
    </row>
    <row r="105" spans="1:26" x14ac:dyDescent="0.3">
      <c r="A105" t="s">
        <v>722</v>
      </c>
      <c r="B105" t="s">
        <v>118</v>
      </c>
      <c r="C105" t="s">
        <v>119</v>
      </c>
      <c r="D105" t="s">
        <v>723</v>
      </c>
      <c r="E105" t="s">
        <v>164</v>
      </c>
      <c r="F105" t="s">
        <v>203</v>
      </c>
      <c r="G105" t="s">
        <v>250</v>
      </c>
      <c r="H105" t="s">
        <v>276</v>
      </c>
      <c r="I105">
        <v>6000</v>
      </c>
      <c r="J105">
        <v>0</v>
      </c>
      <c r="K105" s="22">
        <v>45336</v>
      </c>
      <c r="L105" s="22">
        <v>45363</v>
      </c>
      <c r="M105" s="22"/>
      <c r="N105">
        <v>27</v>
      </c>
      <c r="O105">
        <v>0</v>
      </c>
      <c r="P105" t="s">
        <v>120</v>
      </c>
      <c r="Q105" t="s">
        <v>99</v>
      </c>
      <c r="R105">
        <v>100000</v>
      </c>
      <c r="S105" t="s">
        <v>197</v>
      </c>
      <c r="T105">
        <v>300</v>
      </c>
      <c r="U105" s="29">
        <f>tbl_Tasks_Clean[[#This Row],[Actual_Cost]]-tbl_Tasks_Clean[[#This Row],[Planned_Cost]]</f>
        <v>-6000</v>
      </c>
      <c r="V105" s="30">
        <f>IFERROR(tbl_Tasks_Clean[[#This Row],[Cost_Variance]]/tbl_Tasks_Clean[[#This Row],[Planned_Cost]],0)</f>
        <v>-1</v>
      </c>
      <c r="W105" t="str">
        <f>IF(AND(tbl_Tasks_Clean[[#This Row],[Status]]="Completed",tbl_Tasks_Clean[[#This Row],[Delay_Days]]&lt;=0),"On Time",IF(AND(tbl_Tasks_Clean[[#This Row],[Status]]="Completed",tbl_Tasks_Clean[[#This Row],[Delay_Days]]&gt;0),"Late","N/A"))</f>
        <v>N/A</v>
      </c>
      <c r="X105" s="29" t="str" cm="1">
        <f t="array" ref="X105">_xlfn.IFS(tbl_Tasks_Clean[[#This Row],[Planned_Duration_Days]]&lt;=7,"Short (&lt;=7 days)",tbl_Tasks_Clean[[#This Row],[Planned_Duration_Days]]&lt;=20,"Medium (8-20 days)",TRUE,"Long (&gt;20 days)")</f>
        <v>Long (&gt;20 days)</v>
      </c>
      <c r="Y105" s="29" t="str">
        <f>INDEX(Projects!$D:$D,MATCH(tbl_Tasks_Clean[[#This Row],[Project_ID]],Projects!$A:$A,0))</f>
        <v>Laila Samir</v>
      </c>
      <c r="Z105" s="29" t="str">
        <f>IF(tbl_Tasks_Clean[[#This Row],[Delay_Days]]&gt;0,"Delayed by "&amp;TEXT(tbl_Tasks_Clean[[#This Row],[Delay_Days]],"0")&amp;" days",IF(tbl_Tasks_Clean[[#This Row],[Delay_Days]]&lt;0,"Early by "&amp;TEXT(-tbl_Tasks_Clean[[#This Row],[Delay_Days]],"0")&amp;" days","On schedule"))</f>
        <v>On schedule</v>
      </c>
    </row>
    <row r="106" spans="1:26" x14ac:dyDescent="0.3">
      <c r="A106" t="s">
        <v>726</v>
      </c>
      <c r="B106" t="s">
        <v>91</v>
      </c>
      <c r="C106" t="s">
        <v>92</v>
      </c>
      <c r="D106" t="s">
        <v>727</v>
      </c>
      <c r="E106" t="s">
        <v>206</v>
      </c>
      <c r="F106" t="s">
        <v>216</v>
      </c>
      <c r="G106" t="s">
        <v>250</v>
      </c>
      <c r="H106" t="s">
        <v>314</v>
      </c>
      <c r="I106">
        <v>1000</v>
      </c>
      <c r="J106">
        <v>1106</v>
      </c>
      <c r="K106" s="22"/>
      <c r="L106" s="22"/>
      <c r="M106" s="22"/>
      <c r="O106">
        <v>0</v>
      </c>
      <c r="P106" t="s">
        <v>93</v>
      </c>
      <c r="Q106" t="s">
        <v>94</v>
      </c>
      <c r="R106">
        <v>100000</v>
      </c>
      <c r="S106" t="s">
        <v>206</v>
      </c>
      <c r="T106">
        <v>200</v>
      </c>
      <c r="U106" s="29">
        <f>tbl_Tasks_Clean[[#This Row],[Actual_Cost]]-tbl_Tasks_Clean[[#This Row],[Planned_Cost]]</f>
        <v>106</v>
      </c>
      <c r="V106" s="30">
        <f>IFERROR(tbl_Tasks_Clean[[#This Row],[Cost_Variance]]/tbl_Tasks_Clean[[#This Row],[Planned_Cost]],0)</f>
        <v>0.106</v>
      </c>
      <c r="W106" t="str">
        <f>IF(AND(tbl_Tasks_Clean[[#This Row],[Status]]="Completed",tbl_Tasks_Clean[[#This Row],[Delay_Days]]&lt;=0),"On Time",IF(AND(tbl_Tasks_Clean[[#This Row],[Status]]="Completed",tbl_Tasks_Clean[[#This Row],[Delay_Days]]&gt;0),"Late","N/A"))</f>
        <v>On Time</v>
      </c>
      <c r="X106" s="29" t="str" cm="1">
        <f t="array" ref="X106">_xlfn.IFS(tbl_Tasks_Clean[[#This Row],[Planned_Duration_Days]]&lt;=7,"Short (&lt;=7 days)",tbl_Tasks_Clean[[#This Row],[Planned_Duration_Days]]&lt;=20,"Medium (8-20 days)",TRUE,"Long (&gt;20 days)")</f>
        <v>Short (&lt;=7 days)</v>
      </c>
      <c r="Y106" s="29" t="str">
        <f>INDEX(Projects!$D:$D,MATCH(tbl_Tasks_Clean[[#This Row],[Project_ID]],Projects!$A:$A,0))</f>
        <v>Ahmed Nabil</v>
      </c>
      <c r="Z106" s="29" t="str">
        <f>IF(tbl_Tasks_Clean[[#This Row],[Delay_Days]]&gt;0,"Delayed by "&amp;TEXT(tbl_Tasks_Clean[[#This Row],[Delay_Days]],"0")&amp;" days",IF(tbl_Tasks_Clean[[#This Row],[Delay_Days]]&lt;0,"Early by "&amp;TEXT(-tbl_Tasks_Clean[[#This Row],[Delay_Days]],"0")&amp;" days","On schedule"))</f>
        <v>On schedule</v>
      </c>
    </row>
    <row r="107" spans="1:26" x14ac:dyDescent="0.3">
      <c r="A107" t="s">
        <v>729</v>
      </c>
      <c r="B107" t="s">
        <v>109</v>
      </c>
      <c r="C107" t="s">
        <v>110</v>
      </c>
      <c r="D107" t="s">
        <v>730</v>
      </c>
      <c r="E107" t="s">
        <v>164</v>
      </c>
      <c r="F107" t="s">
        <v>224</v>
      </c>
      <c r="G107" t="s">
        <v>281</v>
      </c>
      <c r="H107" t="s">
        <v>319</v>
      </c>
      <c r="I107">
        <v>8000</v>
      </c>
      <c r="J107">
        <v>5450</v>
      </c>
      <c r="K107" s="22"/>
      <c r="L107" s="22"/>
      <c r="M107" s="22"/>
      <c r="O107">
        <v>0</v>
      </c>
      <c r="P107" t="s">
        <v>111</v>
      </c>
      <c r="Q107" t="s">
        <v>99</v>
      </c>
      <c r="R107">
        <v>120000</v>
      </c>
      <c r="S107" t="s">
        <v>219</v>
      </c>
      <c r="T107">
        <v>200</v>
      </c>
      <c r="U107" s="29">
        <f>tbl_Tasks_Clean[[#This Row],[Actual_Cost]]-tbl_Tasks_Clean[[#This Row],[Planned_Cost]]</f>
        <v>-2550</v>
      </c>
      <c r="V107" s="30">
        <f>IFERROR(tbl_Tasks_Clean[[#This Row],[Cost_Variance]]/tbl_Tasks_Clean[[#This Row],[Planned_Cost]],0)</f>
        <v>-0.31874999999999998</v>
      </c>
      <c r="W107" t="str">
        <f>IF(AND(tbl_Tasks_Clean[[#This Row],[Status]]="Completed",tbl_Tasks_Clean[[#This Row],[Delay_Days]]&lt;=0),"On Time",IF(AND(tbl_Tasks_Clean[[#This Row],[Status]]="Completed",tbl_Tasks_Clean[[#This Row],[Delay_Days]]&gt;0),"Late","N/A"))</f>
        <v>N/A</v>
      </c>
      <c r="X107" s="29" t="str" cm="1">
        <f t="array" ref="X107">_xlfn.IFS(tbl_Tasks_Clean[[#This Row],[Planned_Duration_Days]]&lt;=7,"Short (&lt;=7 days)",tbl_Tasks_Clean[[#This Row],[Planned_Duration_Days]]&lt;=20,"Medium (8-20 days)",TRUE,"Long (&gt;20 days)")</f>
        <v>Short (&lt;=7 days)</v>
      </c>
      <c r="Y107" s="29" t="str">
        <f>INDEX(Projects!$D:$D,MATCH(tbl_Tasks_Clean[[#This Row],[Project_ID]],Projects!$A:$A,0))</f>
        <v>Laila Samir</v>
      </c>
      <c r="Z107" s="29" t="str">
        <f>IF(tbl_Tasks_Clean[[#This Row],[Delay_Days]]&gt;0,"Delayed by "&amp;TEXT(tbl_Tasks_Clean[[#This Row],[Delay_Days]],"0")&amp;" days",IF(tbl_Tasks_Clean[[#This Row],[Delay_Days]]&lt;0,"Early by "&amp;TEXT(-tbl_Tasks_Clean[[#This Row],[Delay_Days]],"0")&amp;" days","On schedule"))</f>
        <v>On schedule</v>
      </c>
    </row>
    <row r="108" spans="1:26" x14ac:dyDescent="0.3">
      <c r="A108" t="s">
        <v>732</v>
      </c>
      <c r="B108" t="s">
        <v>129</v>
      </c>
      <c r="C108" t="s">
        <v>130</v>
      </c>
      <c r="D108" t="s">
        <v>733</v>
      </c>
      <c r="E108" t="s">
        <v>197</v>
      </c>
      <c r="F108" t="s">
        <v>176</v>
      </c>
      <c r="G108" t="s">
        <v>1443</v>
      </c>
      <c r="H108" t="s">
        <v>287</v>
      </c>
      <c r="I108">
        <v>8000</v>
      </c>
      <c r="J108">
        <v>4463</v>
      </c>
      <c r="K108" s="22">
        <v>45431</v>
      </c>
      <c r="L108" s="22">
        <v>45457</v>
      </c>
      <c r="M108" s="22"/>
      <c r="N108">
        <v>26</v>
      </c>
      <c r="O108">
        <v>0</v>
      </c>
      <c r="P108" t="s">
        <v>131</v>
      </c>
      <c r="Q108" t="s">
        <v>94</v>
      </c>
      <c r="R108">
        <v>250000</v>
      </c>
      <c r="S108" t="s">
        <v>177</v>
      </c>
      <c r="T108">
        <v>250</v>
      </c>
      <c r="U108" s="29">
        <f>tbl_Tasks_Clean[[#This Row],[Actual_Cost]]-tbl_Tasks_Clean[[#This Row],[Planned_Cost]]</f>
        <v>-3537</v>
      </c>
      <c r="V108" s="30">
        <f>IFERROR(tbl_Tasks_Clean[[#This Row],[Cost_Variance]]/tbl_Tasks_Clean[[#This Row],[Planned_Cost]],0)</f>
        <v>-0.44212499999999999</v>
      </c>
      <c r="W108" t="str">
        <f>IF(AND(tbl_Tasks_Clean[[#This Row],[Status]]="Completed",tbl_Tasks_Clean[[#This Row],[Delay_Days]]&lt;=0),"On Time",IF(AND(tbl_Tasks_Clean[[#This Row],[Status]]="Completed",tbl_Tasks_Clean[[#This Row],[Delay_Days]]&gt;0),"Late","N/A"))</f>
        <v>N/A</v>
      </c>
      <c r="X108" s="29" t="str" cm="1">
        <f t="array" ref="X108">_xlfn.IFS(tbl_Tasks_Clean[[#This Row],[Planned_Duration_Days]]&lt;=7,"Short (&lt;=7 days)",tbl_Tasks_Clean[[#This Row],[Planned_Duration_Days]]&lt;=20,"Medium (8-20 days)",TRUE,"Long (&gt;20 days)")</f>
        <v>Long (&gt;20 days)</v>
      </c>
      <c r="Y108" s="29" t="str">
        <f>INDEX(Projects!$D:$D,MATCH(tbl_Tasks_Clean[[#This Row],[Project_ID]],Projects!$A:$A,0))</f>
        <v>Ahmed Nabil</v>
      </c>
      <c r="Z108" s="29" t="str">
        <f>IF(tbl_Tasks_Clean[[#This Row],[Delay_Days]]&gt;0,"Delayed by "&amp;TEXT(tbl_Tasks_Clean[[#This Row],[Delay_Days]],"0")&amp;" days",IF(tbl_Tasks_Clean[[#This Row],[Delay_Days]]&lt;0,"Early by "&amp;TEXT(-tbl_Tasks_Clean[[#This Row],[Delay_Days]],"0")&amp;" days","On schedule"))</f>
        <v>On schedule</v>
      </c>
    </row>
    <row r="109" spans="1:26" x14ac:dyDescent="0.3">
      <c r="A109" t="s">
        <v>735</v>
      </c>
      <c r="B109" t="s">
        <v>118</v>
      </c>
      <c r="C109" t="s">
        <v>119</v>
      </c>
      <c r="D109" t="s">
        <v>736</v>
      </c>
      <c r="E109" t="s">
        <v>197</v>
      </c>
      <c r="F109" t="s">
        <v>167</v>
      </c>
      <c r="G109" t="s">
        <v>350</v>
      </c>
      <c r="H109" t="s">
        <v>287</v>
      </c>
      <c r="I109">
        <v>3000</v>
      </c>
      <c r="J109">
        <v>742</v>
      </c>
      <c r="K109" s="22"/>
      <c r="L109" s="22"/>
      <c r="M109" s="22"/>
      <c r="O109">
        <v>0</v>
      </c>
      <c r="P109" t="s">
        <v>120</v>
      </c>
      <c r="Q109" t="s">
        <v>99</v>
      </c>
      <c r="R109">
        <v>100000</v>
      </c>
      <c r="S109" t="s">
        <v>164</v>
      </c>
      <c r="T109">
        <v>180</v>
      </c>
      <c r="U109" s="29">
        <f>tbl_Tasks_Clean[[#This Row],[Actual_Cost]]-tbl_Tasks_Clean[[#This Row],[Planned_Cost]]</f>
        <v>-2258</v>
      </c>
      <c r="V109" s="30">
        <f>IFERROR(tbl_Tasks_Clean[[#This Row],[Cost_Variance]]/tbl_Tasks_Clean[[#This Row],[Planned_Cost]],0)</f>
        <v>-0.75266666666666671</v>
      </c>
      <c r="W109" t="str">
        <f>IF(AND(tbl_Tasks_Clean[[#This Row],[Status]]="Completed",tbl_Tasks_Clean[[#This Row],[Delay_Days]]&lt;=0),"On Time",IF(AND(tbl_Tasks_Clean[[#This Row],[Status]]="Completed",tbl_Tasks_Clean[[#This Row],[Delay_Days]]&gt;0),"Late","N/A"))</f>
        <v>N/A</v>
      </c>
      <c r="X109" s="29" t="str" cm="1">
        <f t="array" ref="X109">_xlfn.IFS(tbl_Tasks_Clean[[#This Row],[Planned_Duration_Days]]&lt;=7,"Short (&lt;=7 days)",tbl_Tasks_Clean[[#This Row],[Planned_Duration_Days]]&lt;=20,"Medium (8-20 days)",TRUE,"Long (&gt;20 days)")</f>
        <v>Short (&lt;=7 days)</v>
      </c>
      <c r="Y109" s="29" t="str">
        <f>INDEX(Projects!$D:$D,MATCH(tbl_Tasks_Clean[[#This Row],[Project_ID]],Projects!$A:$A,0))</f>
        <v>Laila Samir</v>
      </c>
      <c r="Z109" s="29" t="str">
        <f>IF(tbl_Tasks_Clean[[#This Row],[Delay_Days]]&gt;0,"Delayed by "&amp;TEXT(tbl_Tasks_Clean[[#This Row],[Delay_Days]],"0")&amp;" days",IF(tbl_Tasks_Clean[[#This Row],[Delay_Days]]&lt;0,"Early by "&amp;TEXT(-tbl_Tasks_Clean[[#This Row],[Delay_Days]],"0")&amp;" days","On schedule"))</f>
        <v>On schedule</v>
      </c>
    </row>
    <row r="110" spans="1:26" x14ac:dyDescent="0.3">
      <c r="A110" t="s">
        <v>739</v>
      </c>
      <c r="B110" t="s">
        <v>105</v>
      </c>
      <c r="C110" t="s">
        <v>106</v>
      </c>
      <c r="D110" t="s">
        <v>740</v>
      </c>
      <c r="E110" t="s">
        <v>1435</v>
      </c>
      <c r="F110" t="s">
        <v>193</v>
      </c>
      <c r="G110" t="s">
        <v>350</v>
      </c>
      <c r="H110" t="s">
        <v>269</v>
      </c>
      <c r="I110">
        <v>6000</v>
      </c>
      <c r="J110">
        <v>7892</v>
      </c>
      <c r="K110" s="22">
        <v>45474</v>
      </c>
      <c r="L110" s="22">
        <v>45493</v>
      </c>
      <c r="M110" s="22">
        <v>45504</v>
      </c>
      <c r="N110">
        <v>19</v>
      </c>
      <c r="O110">
        <v>11</v>
      </c>
      <c r="P110" t="s">
        <v>107</v>
      </c>
      <c r="Q110" t="s">
        <v>84</v>
      </c>
      <c r="R110">
        <v>120000</v>
      </c>
      <c r="S110" t="s">
        <v>187</v>
      </c>
      <c r="T110">
        <v>300</v>
      </c>
      <c r="U110" s="29">
        <f>tbl_Tasks_Clean[[#This Row],[Actual_Cost]]-tbl_Tasks_Clean[[#This Row],[Planned_Cost]]</f>
        <v>1892</v>
      </c>
      <c r="V110" s="30">
        <f>IFERROR(tbl_Tasks_Clean[[#This Row],[Cost_Variance]]/tbl_Tasks_Clean[[#This Row],[Planned_Cost]],0)</f>
        <v>0.31533333333333335</v>
      </c>
      <c r="W110" t="str">
        <f>IF(AND(tbl_Tasks_Clean[[#This Row],[Status]]="Completed",tbl_Tasks_Clean[[#This Row],[Delay_Days]]&lt;=0),"On Time",IF(AND(tbl_Tasks_Clean[[#This Row],[Status]]="Completed",tbl_Tasks_Clean[[#This Row],[Delay_Days]]&gt;0),"Late","N/A"))</f>
        <v>N/A</v>
      </c>
      <c r="X110" s="29" t="str" cm="1">
        <f t="array" ref="X110">_xlfn.IFS(tbl_Tasks_Clean[[#This Row],[Planned_Duration_Days]]&lt;=7,"Short (&lt;=7 days)",tbl_Tasks_Clean[[#This Row],[Planned_Duration_Days]]&lt;=20,"Medium (8-20 days)",TRUE,"Long (&gt;20 days)")</f>
        <v>Medium (8-20 days)</v>
      </c>
      <c r="Y110" s="29" t="str">
        <f>INDEX(Projects!$D:$D,MATCH(tbl_Tasks_Clean[[#This Row],[Project_ID]],Projects!$A:$A,0))</f>
        <v>Mona Farid</v>
      </c>
      <c r="Z110" s="29" t="str">
        <f>IF(tbl_Tasks_Clean[[#This Row],[Delay_Days]]&gt;0,"Delayed by "&amp;TEXT(tbl_Tasks_Clean[[#This Row],[Delay_Days]],"0")&amp;" days",IF(tbl_Tasks_Clean[[#This Row],[Delay_Days]]&lt;0,"Early by "&amp;TEXT(-tbl_Tasks_Clean[[#This Row],[Delay_Days]],"0")&amp;" days","On schedule"))</f>
        <v>Delayed by 11 days</v>
      </c>
    </row>
    <row r="111" spans="1:26" x14ac:dyDescent="0.3">
      <c r="A111" t="s">
        <v>743</v>
      </c>
      <c r="B111" t="s">
        <v>96</v>
      </c>
      <c r="C111" t="s">
        <v>97</v>
      </c>
      <c r="D111" t="s">
        <v>744</v>
      </c>
      <c r="E111" t="s">
        <v>177</v>
      </c>
      <c r="F111" t="s">
        <v>183</v>
      </c>
      <c r="G111" t="s">
        <v>281</v>
      </c>
      <c r="H111" t="s">
        <v>287</v>
      </c>
      <c r="I111">
        <v>2000</v>
      </c>
      <c r="J111">
        <v>1080</v>
      </c>
      <c r="K111" s="22">
        <v>45466</v>
      </c>
      <c r="L111" s="22">
        <v>45474</v>
      </c>
      <c r="M111" s="22"/>
      <c r="N111">
        <v>8</v>
      </c>
      <c r="O111">
        <v>0</v>
      </c>
      <c r="P111" t="s">
        <v>98</v>
      </c>
      <c r="Q111" t="s">
        <v>99</v>
      </c>
      <c r="R111">
        <v>75000</v>
      </c>
      <c r="S111" t="s">
        <v>177</v>
      </c>
      <c r="T111">
        <v>220</v>
      </c>
      <c r="U111" s="29">
        <f>tbl_Tasks_Clean[[#This Row],[Actual_Cost]]-tbl_Tasks_Clean[[#This Row],[Planned_Cost]]</f>
        <v>-920</v>
      </c>
      <c r="V111" s="30">
        <f>IFERROR(tbl_Tasks_Clean[[#This Row],[Cost_Variance]]/tbl_Tasks_Clean[[#This Row],[Planned_Cost]],0)</f>
        <v>-0.46</v>
      </c>
      <c r="W111" t="str">
        <f>IF(AND(tbl_Tasks_Clean[[#This Row],[Status]]="Completed",tbl_Tasks_Clean[[#This Row],[Delay_Days]]&lt;=0),"On Time",IF(AND(tbl_Tasks_Clean[[#This Row],[Status]]="Completed",tbl_Tasks_Clean[[#This Row],[Delay_Days]]&gt;0),"Late","N/A"))</f>
        <v>N/A</v>
      </c>
      <c r="X111" s="29" t="str" cm="1">
        <f t="array" ref="X111">_xlfn.IFS(tbl_Tasks_Clean[[#This Row],[Planned_Duration_Days]]&lt;=7,"Short (&lt;=7 days)",tbl_Tasks_Clean[[#This Row],[Planned_Duration_Days]]&lt;=20,"Medium (8-20 days)",TRUE,"Long (&gt;20 days)")</f>
        <v>Medium (8-20 days)</v>
      </c>
      <c r="Y111" s="29" t="str">
        <f>INDEX(Projects!$D:$D,MATCH(tbl_Tasks_Clean[[#This Row],[Project_ID]],Projects!$A:$A,0))</f>
        <v>Laila Samir</v>
      </c>
      <c r="Z111" s="29" t="str">
        <f>IF(tbl_Tasks_Clean[[#This Row],[Delay_Days]]&gt;0,"Delayed by "&amp;TEXT(tbl_Tasks_Clean[[#This Row],[Delay_Days]],"0")&amp;" days",IF(tbl_Tasks_Clean[[#This Row],[Delay_Days]]&lt;0,"Early by "&amp;TEXT(-tbl_Tasks_Clean[[#This Row],[Delay_Days]],"0")&amp;" days","On schedule"))</f>
        <v>On schedule</v>
      </c>
    </row>
    <row r="112" spans="1:26" x14ac:dyDescent="0.3">
      <c r="A112" t="s">
        <v>747</v>
      </c>
      <c r="B112" t="s">
        <v>96</v>
      </c>
      <c r="C112" t="s">
        <v>97</v>
      </c>
      <c r="D112" t="s">
        <v>429</v>
      </c>
      <c r="E112" t="s">
        <v>206</v>
      </c>
      <c r="F112" t="s">
        <v>203</v>
      </c>
      <c r="G112" t="s">
        <v>250</v>
      </c>
      <c r="H112" t="s">
        <v>287</v>
      </c>
      <c r="I112">
        <v>3000</v>
      </c>
      <c r="J112">
        <v>1233</v>
      </c>
      <c r="K112" s="22">
        <v>45538</v>
      </c>
      <c r="L112" s="22">
        <v>45560</v>
      </c>
      <c r="M112" s="22"/>
      <c r="N112">
        <v>22</v>
      </c>
      <c r="O112">
        <v>0</v>
      </c>
      <c r="P112" t="s">
        <v>98</v>
      </c>
      <c r="Q112" t="s">
        <v>99</v>
      </c>
      <c r="R112">
        <v>75000</v>
      </c>
      <c r="S112" t="s">
        <v>197</v>
      </c>
      <c r="T112">
        <v>300</v>
      </c>
      <c r="U112" s="29">
        <f>tbl_Tasks_Clean[[#This Row],[Actual_Cost]]-tbl_Tasks_Clean[[#This Row],[Planned_Cost]]</f>
        <v>-1767</v>
      </c>
      <c r="V112" s="30">
        <f>IFERROR(tbl_Tasks_Clean[[#This Row],[Cost_Variance]]/tbl_Tasks_Clean[[#This Row],[Planned_Cost]],0)</f>
        <v>-0.58899999999999997</v>
      </c>
      <c r="W112" t="str">
        <f>IF(AND(tbl_Tasks_Clean[[#This Row],[Status]]="Completed",tbl_Tasks_Clean[[#This Row],[Delay_Days]]&lt;=0),"On Time",IF(AND(tbl_Tasks_Clean[[#This Row],[Status]]="Completed",tbl_Tasks_Clean[[#This Row],[Delay_Days]]&gt;0),"Late","N/A"))</f>
        <v>N/A</v>
      </c>
      <c r="X112" s="29" t="str" cm="1">
        <f t="array" ref="X112">_xlfn.IFS(tbl_Tasks_Clean[[#This Row],[Planned_Duration_Days]]&lt;=7,"Short (&lt;=7 days)",tbl_Tasks_Clean[[#This Row],[Planned_Duration_Days]]&lt;=20,"Medium (8-20 days)",TRUE,"Long (&gt;20 days)")</f>
        <v>Long (&gt;20 days)</v>
      </c>
      <c r="Y112" s="29" t="str">
        <f>INDEX(Projects!$D:$D,MATCH(tbl_Tasks_Clean[[#This Row],[Project_ID]],Projects!$A:$A,0))</f>
        <v>Laila Samir</v>
      </c>
      <c r="Z112" s="29" t="str">
        <f>IF(tbl_Tasks_Clean[[#This Row],[Delay_Days]]&gt;0,"Delayed by "&amp;TEXT(tbl_Tasks_Clean[[#This Row],[Delay_Days]],"0")&amp;" days",IF(tbl_Tasks_Clean[[#This Row],[Delay_Days]]&lt;0,"Early by "&amp;TEXT(-tbl_Tasks_Clean[[#This Row],[Delay_Days]],"0")&amp;" days","On schedule"))</f>
        <v>On schedule</v>
      </c>
    </row>
    <row r="113" spans="1:26" x14ac:dyDescent="0.3">
      <c r="A113" t="s">
        <v>750</v>
      </c>
      <c r="B113" t="s">
        <v>109</v>
      </c>
      <c r="C113" t="s">
        <v>110</v>
      </c>
      <c r="D113" t="s">
        <v>751</v>
      </c>
      <c r="E113" t="s">
        <v>197</v>
      </c>
      <c r="F113" t="s">
        <v>180</v>
      </c>
      <c r="G113" t="s">
        <v>350</v>
      </c>
      <c r="H113" t="s">
        <v>287</v>
      </c>
      <c r="I113">
        <v>6000</v>
      </c>
      <c r="J113">
        <v>1369</v>
      </c>
      <c r="K113" s="22">
        <v>45544</v>
      </c>
      <c r="L113" s="22">
        <v>45564</v>
      </c>
      <c r="M113" s="22"/>
      <c r="N113">
        <v>20</v>
      </c>
      <c r="O113">
        <v>0</v>
      </c>
      <c r="P113" t="s">
        <v>111</v>
      </c>
      <c r="Q113" t="s">
        <v>99</v>
      </c>
      <c r="R113">
        <v>120000</v>
      </c>
      <c r="S113" t="s">
        <v>177</v>
      </c>
      <c r="T113">
        <v>280</v>
      </c>
      <c r="U113" s="29">
        <f>tbl_Tasks_Clean[[#This Row],[Actual_Cost]]-tbl_Tasks_Clean[[#This Row],[Planned_Cost]]</f>
        <v>-4631</v>
      </c>
      <c r="V113" s="30">
        <f>IFERROR(tbl_Tasks_Clean[[#This Row],[Cost_Variance]]/tbl_Tasks_Clean[[#This Row],[Planned_Cost]],0)</f>
        <v>-0.77183333333333337</v>
      </c>
      <c r="W113" t="str">
        <f>IF(AND(tbl_Tasks_Clean[[#This Row],[Status]]="Completed",tbl_Tasks_Clean[[#This Row],[Delay_Days]]&lt;=0),"On Time",IF(AND(tbl_Tasks_Clean[[#This Row],[Status]]="Completed",tbl_Tasks_Clean[[#This Row],[Delay_Days]]&gt;0),"Late","N/A"))</f>
        <v>N/A</v>
      </c>
      <c r="X113" s="29" t="str" cm="1">
        <f t="array" ref="X113">_xlfn.IFS(tbl_Tasks_Clean[[#This Row],[Planned_Duration_Days]]&lt;=7,"Short (&lt;=7 days)",tbl_Tasks_Clean[[#This Row],[Planned_Duration_Days]]&lt;=20,"Medium (8-20 days)",TRUE,"Long (&gt;20 days)")</f>
        <v>Medium (8-20 days)</v>
      </c>
      <c r="Y113" s="29" t="str">
        <f>INDEX(Projects!$D:$D,MATCH(tbl_Tasks_Clean[[#This Row],[Project_ID]],Projects!$A:$A,0))</f>
        <v>Laila Samir</v>
      </c>
      <c r="Z113" s="29" t="str">
        <f>IF(tbl_Tasks_Clean[[#This Row],[Delay_Days]]&gt;0,"Delayed by "&amp;TEXT(tbl_Tasks_Clean[[#This Row],[Delay_Days]],"0")&amp;" days",IF(tbl_Tasks_Clean[[#This Row],[Delay_Days]]&lt;0,"Early by "&amp;TEXT(-tbl_Tasks_Clean[[#This Row],[Delay_Days]],"0")&amp;" days","On schedule"))</f>
        <v>On schedule</v>
      </c>
    </row>
    <row r="114" spans="1:26" x14ac:dyDescent="0.3">
      <c r="A114" t="s">
        <v>754</v>
      </c>
      <c r="B114" t="s">
        <v>96</v>
      </c>
      <c r="C114" t="s">
        <v>97</v>
      </c>
      <c r="D114" t="s">
        <v>622</v>
      </c>
      <c r="E114" t="s">
        <v>177</v>
      </c>
      <c r="F114" t="s">
        <v>180</v>
      </c>
      <c r="G114" t="s">
        <v>350</v>
      </c>
      <c r="H114" t="s">
        <v>269</v>
      </c>
      <c r="I114">
        <v>1500</v>
      </c>
      <c r="J114">
        <v>1832</v>
      </c>
      <c r="K114" s="22"/>
      <c r="L114" s="22"/>
      <c r="M114" s="22"/>
      <c r="O114">
        <v>0</v>
      </c>
      <c r="P114" t="s">
        <v>98</v>
      </c>
      <c r="Q114" t="s">
        <v>99</v>
      </c>
      <c r="R114">
        <v>75000</v>
      </c>
      <c r="S114" t="s">
        <v>177</v>
      </c>
      <c r="T114">
        <v>280</v>
      </c>
      <c r="U114" s="29">
        <f>tbl_Tasks_Clean[[#This Row],[Actual_Cost]]-tbl_Tasks_Clean[[#This Row],[Planned_Cost]]</f>
        <v>332</v>
      </c>
      <c r="V114" s="30">
        <f>IFERROR(tbl_Tasks_Clean[[#This Row],[Cost_Variance]]/tbl_Tasks_Clean[[#This Row],[Planned_Cost]],0)</f>
        <v>0.22133333333333333</v>
      </c>
      <c r="W114" t="str">
        <f>IF(AND(tbl_Tasks_Clean[[#This Row],[Status]]="Completed",tbl_Tasks_Clean[[#This Row],[Delay_Days]]&lt;=0),"On Time",IF(AND(tbl_Tasks_Clean[[#This Row],[Status]]="Completed",tbl_Tasks_Clean[[#This Row],[Delay_Days]]&gt;0),"Late","N/A"))</f>
        <v>N/A</v>
      </c>
      <c r="X114" s="29" t="str" cm="1">
        <f t="array" ref="X114">_xlfn.IFS(tbl_Tasks_Clean[[#This Row],[Planned_Duration_Days]]&lt;=7,"Short (&lt;=7 days)",tbl_Tasks_Clean[[#This Row],[Planned_Duration_Days]]&lt;=20,"Medium (8-20 days)",TRUE,"Long (&gt;20 days)")</f>
        <v>Short (&lt;=7 days)</v>
      </c>
      <c r="Y114" s="29" t="str">
        <f>INDEX(Projects!$D:$D,MATCH(tbl_Tasks_Clean[[#This Row],[Project_ID]],Projects!$A:$A,0))</f>
        <v>Laila Samir</v>
      </c>
      <c r="Z114" s="29" t="str">
        <f>IF(tbl_Tasks_Clean[[#This Row],[Delay_Days]]&gt;0,"Delayed by "&amp;TEXT(tbl_Tasks_Clean[[#This Row],[Delay_Days]],"0")&amp;" days",IF(tbl_Tasks_Clean[[#This Row],[Delay_Days]]&lt;0,"Early by "&amp;TEXT(-tbl_Tasks_Clean[[#This Row],[Delay_Days]],"0")&amp;" days","On schedule"))</f>
        <v>On schedule</v>
      </c>
    </row>
    <row r="115" spans="1:26" x14ac:dyDescent="0.3">
      <c r="A115" t="s">
        <v>758</v>
      </c>
      <c r="B115" t="s">
        <v>136</v>
      </c>
      <c r="C115" t="s">
        <v>137</v>
      </c>
      <c r="D115" t="s">
        <v>759</v>
      </c>
      <c r="E115" t="s">
        <v>187</v>
      </c>
      <c r="F115" t="s">
        <v>209</v>
      </c>
      <c r="G115" t="s">
        <v>350</v>
      </c>
      <c r="H115" t="s">
        <v>319</v>
      </c>
      <c r="I115">
        <v>2500</v>
      </c>
      <c r="J115">
        <v>895</v>
      </c>
      <c r="K115" s="22">
        <v>45338</v>
      </c>
      <c r="L115" s="22">
        <v>45358</v>
      </c>
      <c r="M115" s="22"/>
      <c r="N115">
        <v>20</v>
      </c>
      <c r="O115">
        <v>0</v>
      </c>
      <c r="P115" t="s">
        <v>138</v>
      </c>
      <c r="Q115" t="s">
        <v>94</v>
      </c>
      <c r="R115">
        <v>300000</v>
      </c>
      <c r="S115" t="s">
        <v>206</v>
      </c>
      <c r="T115">
        <v>250</v>
      </c>
      <c r="U115" s="29">
        <f>tbl_Tasks_Clean[[#This Row],[Actual_Cost]]-tbl_Tasks_Clean[[#This Row],[Planned_Cost]]</f>
        <v>-1605</v>
      </c>
      <c r="V115" s="30">
        <f>IFERROR(tbl_Tasks_Clean[[#This Row],[Cost_Variance]]/tbl_Tasks_Clean[[#This Row],[Planned_Cost]],0)</f>
        <v>-0.64200000000000002</v>
      </c>
      <c r="W115" t="str">
        <f>IF(AND(tbl_Tasks_Clean[[#This Row],[Status]]="Completed",tbl_Tasks_Clean[[#This Row],[Delay_Days]]&lt;=0),"On Time",IF(AND(tbl_Tasks_Clean[[#This Row],[Status]]="Completed",tbl_Tasks_Clean[[#This Row],[Delay_Days]]&gt;0),"Late","N/A"))</f>
        <v>N/A</v>
      </c>
      <c r="X115" s="29" t="str" cm="1">
        <f t="array" ref="X115">_xlfn.IFS(tbl_Tasks_Clean[[#This Row],[Planned_Duration_Days]]&lt;=7,"Short (&lt;=7 days)",tbl_Tasks_Clean[[#This Row],[Planned_Duration_Days]]&lt;=20,"Medium (8-20 days)",TRUE,"Long (&gt;20 days)")</f>
        <v>Medium (8-20 days)</v>
      </c>
      <c r="Y115" s="29" t="str">
        <f>INDEX(Projects!$D:$D,MATCH(tbl_Tasks_Clean[[#This Row],[Project_ID]],Projects!$A:$A,0))</f>
        <v>Ahmed Nabil</v>
      </c>
      <c r="Z115" s="29" t="str">
        <f>IF(tbl_Tasks_Clean[[#This Row],[Delay_Days]]&gt;0,"Delayed by "&amp;TEXT(tbl_Tasks_Clean[[#This Row],[Delay_Days]],"0")&amp;" days",IF(tbl_Tasks_Clean[[#This Row],[Delay_Days]]&lt;0,"Early by "&amp;TEXT(-tbl_Tasks_Clean[[#This Row],[Delay_Days]],"0")&amp;" days","On schedule"))</f>
        <v>On schedule</v>
      </c>
    </row>
    <row r="116" spans="1:26" x14ac:dyDescent="0.3">
      <c r="A116" t="s">
        <v>762</v>
      </c>
      <c r="B116" t="s">
        <v>136</v>
      </c>
      <c r="C116" t="s">
        <v>137</v>
      </c>
      <c r="D116" t="s">
        <v>763</v>
      </c>
      <c r="E116" t="s">
        <v>197</v>
      </c>
      <c r="F116" t="s">
        <v>163</v>
      </c>
      <c r="G116" t="s">
        <v>281</v>
      </c>
      <c r="H116" t="s">
        <v>314</v>
      </c>
      <c r="I116">
        <v>6000</v>
      </c>
      <c r="J116">
        <v>5085</v>
      </c>
      <c r="K116" s="22">
        <v>45426</v>
      </c>
      <c r="L116" s="22">
        <v>45450</v>
      </c>
      <c r="M116" s="22">
        <v>45450</v>
      </c>
      <c r="N116">
        <v>24</v>
      </c>
      <c r="O116">
        <v>0</v>
      </c>
      <c r="P116" t="s">
        <v>138</v>
      </c>
      <c r="Q116" t="s">
        <v>94</v>
      </c>
      <c r="R116">
        <v>300000</v>
      </c>
      <c r="S116" t="s">
        <v>164</v>
      </c>
      <c r="T116">
        <v>180</v>
      </c>
      <c r="U116" s="29">
        <f>tbl_Tasks_Clean[[#This Row],[Actual_Cost]]-tbl_Tasks_Clean[[#This Row],[Planned_Cost]]</f>
        <v>-915</v>
      </c>
      <c r="V116" s="30">
        <f>IFERROR(tbl_Tasks_Clean[[#This Row],[Cost_Variance]]/tbl_Tasks_Clean[[#This Row],[Planned_Cost]],0)</f>
        <v>-0.1525</v>
      </c>
      <c r="W116" t="str">
        <f>IF(AND(tbl_Tasks_Clean[[#This Row],[Status]]="Completed",tbl_Tasks_Clean[[#This Row],[Delay_Days]]&lt;=0),"On Time",IF(AND(tbl_Tasks_Clean[[#This Row],[Status]]="Completed",tbl_Tasks_Clean[[#This Row],[Delay_Days]]&gt;0),"Late","N/A"))</f>
        <v>On Time</v>
      </c>
      <c r="X116" s="29" t="str" cm="1">
        <f t="array" ref="X116">_xlfn.IFS(tbl_Tasks_Clean[[#This Row],[Planned_Duration_Days]]&lt;=7,"Short (&lt;=7 days)",tbl_Tasks_Clean[[#This Row],[Planned_Duration_Days]]&lt;=20,"Medium (8-20 days)",TRUE,"Long (&gt;20 days)")</f>
        <v>Long (&gt;20 days)</v>
      </c>
      <c r="Y116" s="29" t="str">
        <f>INDEX(Projects!$D:$D,MATCH(tbl_Tasks_Clean[[#This Row],[Project_ID]],Projects!$A:$A,0))</f>
        <v>Ahmed Nabil</v>
      </c>
      <c r="Z116" s="29" t="str">
        <f>IF(tbl_Tasks_Clean[[#This Row],[Delay_Days]]&gt;0,"Delayed by "&amp;TEXT(tbl_Tasks_Clean[[#This Row],[Delay_Days]],"0")&amp;" days",IF(tbl_Tasks_Clean[[#This Row],[Delay_Days]]&lt;0,"Early by "&amp;TEXT(-tbl_Tasks_Clean[[#This Row],[Delay_Days]],"0")&amp;" days","On schedule"))</f>
        <v>On schedule</v>
      </c>
    </row>
    <row r="117" spans="1:26" x14ac:dyDescent="0.3">
      <c r="A117" t="s">
        <v>766</v>
      </c>
      <c r="B117" t="s">
        <v>101</v>
      </c>
      <c r="C117" t="s">
        <v>102</v>
      </c>
      <c r="D117" t="s">
        <v>612</v>
      </c>
      <c r="E117" t="s">
        <v>187</v>
      </c>
      <c r="F117" t="s">
        <v>169</v>
      </c>
      <c r="G117" t="s">
        <v>281</v>
      </c>
      <c r="H117" t="s">
        <v>287</v>
      </c>
      <c r="I117">
        <v>6000</v>
      </c>
      <c r="J117">
        <v>2042</v>
      </c>
      <c r="K117" s="22">
        <v>45372</v>
      </c>
      <c r="L117" s="22">
        <v>45399</v>
      </c>
      <c r="M117" s="22"/>
      <c r="N117">
        <v>27</v>
      </c>
      <c r="O117">
        <v>0</v>
      </c>
      <c r="P117" t="s">
        <v>103</v>
      </c>
      <c r="Q117" t="s">
        <v>94</v>
      </c>
      <c r="R117">
        <v>50000</v>
      </c>
      <c r="S117" t="s">
        <v>164</v>
      </c>
      <c r="T117">
        <v>200</v>
      </c>
      <c r="U117" s="29">
        <f>tbl_Tasks_Clean[[#This Row],[Actual_Cost]]-tbl_Tasks_Clean[[#This Row],[Planned_Cost]]</f>
        <v>-3958</v>
      </c>
      <c r="V117" s="30">
        <f>IFERROR(tbl_Tasks_Clean[[#This Row],[Cost_Variance]]/tbl_Tasks_Clean[[#This Row],[Planned_Cost]],0)</f>
        <v>-0.65966666666666662</v>
      </c>
      <c r="W117" t="str">
        <f>IF(AND(tbl_Tasks_Clean[[#This Row],[Status]]="Completed",tbl_Tasks_Clean[[#This Row],[Delay_Days]]&lt;=0),"On Time",IF(AND(tbl_Tasks_Clean[[#This Row],[Status]]="Completed",tbl_Tasks_Clean[[#This Row],[Delay_Days]]&gt;0),"Late","N/A"))</f>
        <v>N/A</v>
      </c>
      <c r="X117" s="29" t="str" cm="1">
        <f t="array" ref="X117">_xlfn.IFS(tbl_Tasks_Clean[[#This Row],[Planned_Duration_Days]]&lt;=7,"Short (&lt;=7 days)",tbl_Tasks_Clean[[#This Row],[Planned_Duration_Days]]&lt;=20,"Medium (8-20 days)",TRUE,"Long (&gt;20 days)")</f>
        <v>Long (&gt;20 days)</v>
      </c>
      <c r="Y117" s="29" t="str">
        <f>INDEX(Projects!$D:$D,MATCH(tbl_Tasks_Clean[[#This Row],[Project_ID]],Projects!$A:$A,0))</f>
        <v>Ahmed Nabil</v>
      </c>
      <c r="Z117" s="29" t="str">
        <f>IF(tbl_Tasks_Clean[[#This Row],[Delay_Days]]&gt;0,"Delayed by "&amp;TEXT(tbl_Tasks_Clean[[#This Row],[Delay_Days]],"0")&amp;" days",IF(tbl_Tasks_Clean[[#This Row],[Delay_Days]]&lt;0,"Early by "&amp;TEXT(-tbl_Tasks_Clean[[#This Row],[Delay_Days]],"0")&amp;" days","On schedule"))</f>
        <v>On schedule</v>
      </c>
    </row>
    <row r="118" spans="1:26" x14ac:dyDescent="0.3">
      <c r="A118" t="s">
        <v>769</v>
      </c>
      <c r="B118" t="s">
        <v>118</v>
      </c>
      <c r="C118" t="s">
        <v>119</v>
      </c>
      <c r="D118" t="s">
        <v>496</v>
      </c>
      <c r="E118" t="s">
        <v>1435</v>
      </c>
      <c r="F118" t="s">
        <v>205</v>
      </c>
      <c r="G118" t="s">
        <v>350</v>
      </c>
      <c r="H118" t="s">
        <v>287</v>
      </c>
      <c r="I118">
        <v>4000</v>
      </c>
      <c r="J118">
        <v>2867</v>
      </c>
      <c r="K118" s="22">
        <v>45443</v>
      </c>
      <c r="L118" s="22">
        <v>45468</v>
      </c>
      <c r="M118" s="22"/>
      <c r="N118">
        <v>25</v>
      </c>
      <c r="O118">
        <v>0</v>
      </c>
      <c r="P118" t="s">
        <v>120</v>
      </c>
      <c r="Q118" t="s">
        <v>99</v>
      </c>
      <c r="R118">
        <v>100000</v>
      </c>
      <c r="S118" t="s">
        <v>206</v>
      </c>
      <c r="T118">
        <v>150</v>
      </c>
      <c r="U118" s="29">
        <f>tbl_Tasks_Clean[[#This Row],[Actual_Cost]]-tbl_Tasks_Clean[[#This Row],[Planned_Cost]]</f>
        <v>-1133</v>
      </c>
      <c r="V118" s="30">
        <f>IFERROR(tbl_Tasks_Clean[[#This Row],[Cost_Variance]]/tbl_Tasks_Clean[[#This Row],[Planned_Cost]],0)</f>
        <v>-0.28325</v>
      </c>
      <c r="W118" t="str">
        <f>IF(AND(tbl_Tasks_Clean[[#This Row],[Status]]="Completed",tbl_Tasks_Clean[[#This Row],[Delay_Days]]&lt;=0),"On Time",IF(AND(tbl_Tasks_Clean[[#This Row],[Status]]="Completed",tbl_Tasks_Clean[[#This Row],[Delay_Days]]&gt;0),"Late","N/A"))</f>
        <v>N/A</v>
      </c>
      <c r="X118" s="29" t="str" cm="1">
        <f t="array" ref="X118">_xlfn.IFS(tbl_Tasks_Clean[[#This Row],[Planned_Duration_Days]]&lt;=7,"Short (&lt;=7 days)",tbl_Tasks_Clean[[#This Row],[Planned_Duration_Days]]&lt;=20,"Medium (8-20 days)",TRUE,"Long (&gt;20 days)")</f>
        <v>Long (&gt;20 days)</v>
      </c>
      <c r="Y118" s="29" t="str">
        <f>INDEX(Projects!$D:$D,MATCH(tbl_Tasks_Clean[[#This Row],[Project_ID]],Projects!$A:$A,0))</f>
        <v>Laila Samir</v>
      </c>
      <c r="Z118" s="29" t="str">
        <f>IF(tbl_Tasks_Clean[[#This Row],[Delay_Days]]&gt;0,"Delayed by "&amp;TEXT(tbl_Tasks_Clean[[#This Row],[Delay_Days]],"0")&amp;" days",IF(tbl_Tasks_Clean[[#This Row],[Delay_Days]]&lt;0,"Early by "&amp;TEXT(-tbl_Tasks_Clean[[#This Row],[Delay_Days]],"0")&amp;" days","On schedule"))</f>
        <v>On schedule</v>
      </c>
    </row>
    <row r="119" spans="1:26" x14ac:dyDescent="0.3">
      <c r="A119" t="s">
        <v>772</v>
      </c>
      <c r="B119" t="s">
        <v>136</v>
      </c>
      <c r="C119" t="s">
        <v>137</v>
      </c>
      <c r="D119" t="s">
        <v>641</v>
      </c>
      <c r="E119" t="s">
        <v>150</v>
      </c>
      <c r="F119" t="s">
        <v>218</v>
      </c>
      <c r="G119" t="s">
        <v>350</v>
      </c>
      <c r="H119" t="s">
        <v>314</v>
      </c>
      <c r="I119">
        <v>1000</v>
      </c>
      <c r="J119">
        <v>1328</v>
      </c>
      <c r="K119" s="22">
        <v>45336</v>
      </c>
      <c r="L119" s="22">
        <v>45358</v>
      </c>
      <c r="M119" s="22">
        <v>45359</v>
      </c>
      <c r="N119">
        <v>22</v>
      </c>
      <c r="O119">
        <v>1</v>
      </c>
      <c r="P119" t="s">
        <v>138</v>
      </c>
      <c r="Q119" t="s">
        <v>94</v>
      </c>
      <c r="R119">
        <v>300000</v>
      </c>
      <c r="S119" t="s">
        <v>219</v>
      </c>
      <c r="T119">
        <v>250</v>
      </c>
      <c r="U119" s="29">
        <f>tbl_Tasks_Clean[[#This Row],[Actual_Cost]]-tbl_Tasks_Clean[[#This Row],[Planned_Cost]]</f>
        <v>328</v>
      </c>
      <c r="V119" s="30">
        <f>IFERROR(tbl_Tasks_Clean[[#This Row],[Cost_Variance]]/tbl_Tasks_Clean[[#This Row],[Planned_Cost]],0)</f>
        <v>0.32800000000000001</v>
      </c>
      <c r="W119" t="str">
        <f>IF(AND(tbl_Tasks_Clean[[#This Row],[Status]]="Completed",tbl_Tasks_Clean[[#This Row],[Delay_Days]]&lt;=0),"On Time",IF(AND(tbl_Tasks_Clean[[#This Row],[Status]]="Completed",tbl_Tasks_Clean[[#This Row],[Delay_Days]]&gt;0),"Late","N/A"))</f>
        <v>Late</v>
      </c>
      <c r="X119" s="29" t="str" cm="1">
        <f t="array" ref="X119">_xlfn.IFS(tbl_Tasks_Clean[[#This Row],[Planned_Duration_Days]]&lt;=7,"Short (&lt;=7 days)",tbl_Tasks_Clean[[#This Row],[Planned_Duration_Days]]&lt;=20,"Medium (8-20 days)",TRUE,"Long (&gt;20 days)")</f>
        <v>Long (&gt;20 days)</v>
      </c>
      <c r="Y119" s="29" t="str">
        <f>INDEX(Projects!$D:$D,MATCH(tbl_Tasks_Clean[[#This Row],[Project_ID]],Projects!$A:$A,0))</f>
        <v>Ahmed Nabil</v>
      </c>
      <c r="Z119" s="29" t="str">
        <f>IF(tbl_Tasks_Clean[[#This Row],[Delay_Days]]&gt;0,"Delayed by "&amp;TEXT(tbl_Tasks_Clean[[#This Row],[Delay_Days]],"0")&amp;" days",IF(tbl_Tasks_Clean[[#This Row],[Delay_Days]]&lt;0,"Early by "&amp;TEXT(-tbl_Tasks_Clean[[#This Row],[Delay_Days]],"0")&amp;" days","On schedule"))</f>
        <v>Delayed by 1 days</v>
      </c>
    </row>
    <row r="120" spans="1:26" x14ac:dyDescent="0.3">
      <c r="A120" t="s">
        <v>775</v>
      </c>
      <c r="B120" t="s">
        <v>81</v>
      </c>
      <c r="C120" t="s">
        <v>82</v>
      </c>
      <c r="D120" t="s">
        <v>573</v>
      </c>
      <c r="E120" t="s">
        <v>206</v>
      </c>
      <c r="F120" t="s">
        <v>167</v>
      </c>
      <c r="G120" t="s">
        <v>281</v>
      </c>
      <c r="H120" t="s">
        <v>287</v>
      </c>
      <c r="I120">
        <v>3000</v>
      </c>
      <c r="J120">
        <v>1804</v>
      </c>
      <c r="K120" s="22">
        <v>45586</v>
      </c>
      <c r="L120" s="22">
        <v>45596</v>
      </c>
      <c r="M120" s="22"/>
      <c r="N120">
        <v>10</v>
      </c>
      <c r="O120">
        <v>0</v>
      </c>
      <c r="P120" t="s">
        <v>83</v>
      </c>
      <c r="Q120" t="s">
        <v>84</v>
      </c>
      <c r="R120">
        <v>75000</v>
      </c>
      <c r="S120" t="s">
        <v>164</v>
      </c>
      <c r="T120">
        <v>180</v>
      </c>
      <c r="U120" s="29">
        <f>tbl_Tasks_Clean[[#This Row],[Actual_Cost]]-tbl_Tasks_Clean[[#This Row],[Planned_Cost]]</f>
        <v>-1196</v>
      </c>
      <c r="V120" s="30">
        <f>IFERROR(tbl_Tasks_Clean[[#This Row],[Cost_Variance]]/tbl_Tasks_Clean[[#This Row],[Planned_Cost]],0)</f>
        <v>-0.39866666666666667</v>
      </c>
      <c r="W120" t="str">
        <f>IF(AND(tbl_Tasks_Clean[[#This Row],[Status]]="Completed",tbl_Tasks_Clean[[#This Row],[Delay_Days]]&lt;=0),"On Time",IF(AND(tbl_Tasks_Clean[[#This Row],[Status]]="Completed",tbl_Tasks_Clean[[#This Row],[Delay_Days]]&gt;0),"Late","N/A"))</f>
        <v>N/A</v>
      </c>
      <c r="X120" s="29" t="str" cm="1">
        <f t="array" ref="X120">_xlfn.IFS(tbl_Tasks_Clean[[#This Row],[Planned_Duration_Days]]&lt;=7,"Short (&lt;=7 days)",tbl_Tasks_Clean[[#This Row],[Planned_Duration_Days]]&lt;=20,"Medium (8-20 days)",TRUE,"Long (&gt;20 days)")</f>
        <v>Medium (8-20 days)</v>
      </c>
      <c r="Y120" s="29" t="str">
        <f>INDEX(Projects!$D:$D,MATCH(tbl_Tasks_Clean[[#This Row],[Project_ID]],Projects!$A:$A,0))</f>
        <v>Mona Farid</v>
      </c>
      <c r="Z120" s="29" t="str">
        <f>IF(tbl_Tasks_Clean[[#This Row],[Delay_Days]]&gt;0,"Delayed by "&amp;TEXT(tbl_Tasks_Clean[[#This Row],[Delay_Days]],"0")&amp;" days",IF(tbl_Tasks_Clean[[#This Row],[Delay_Days]]&lt;0,"Early by "&amp;TEXT(-tbl_Tasks_Clean[[#This Row],[Delay_Days]],"0")&amp;" days","On schedule"))</f>
        <v>On schedule</v>
      </c>
    </row>
    <row r="121" spans="1:26" x14ac:dyDescent="0.3">
      <c r="A121" t="s">
        <v>778</v>
      </c>
      <c r="B121" t="s">
        <v>113</v>
      </c>
      <c r="C121" t="s">
        <v>114</v>
      </c>
      <c r="D121" t="s">
        <v>462</v>
      </c>
      <c r="E121" t="s">
        <v>164</v>
      </c>
      <c r="F121" t="s">
        <v>174</v>
      </c>
      <c r="G121" t="s">
        <v>250</v>
      </c>
      <c r="H121" t="s">
        <v>314</v>
      </c>
      <c r="I121">
        <v>1500</v>
      </c>
      <c r="J121">
        <v>1055</v>
      </c>
      <c r="K121" s="22">
        <v>45429</v>
      </c>
      <c r="L121" s="22">
        <v>45443</v>
      </c>
      <c r="M121" s="22">
        <v>45440</v>
      </c>
      <c r="N121">
        <v>14</v>
      </c>
      <c r="O121">
        <v>-3</v>
      </c>
      <c r="P121" t="s">
        <v>115</v>
      </c>
      <c r="Q121" t="s">
        <v>116</v>
      </c>
      <c r="R121">
        <v>300000</v>
      </c>
      <c r="S121" t="s">
        <v>164</v>
      </c>
      <c r="T121">
        <v>220</v>
      </c>
      <c r="U121" s="29">
        <f>tbl_Tasks_Clean[[#This Row],[Actual_Cost]]-tbl_Tasks_Clean[[#This Row],[Planned_Cost]]</f>
        <v>-445</v>
      </c>
      <c r="V121" s="30">
        <f>IFERROR(tbl_Tasks_Clean[[#This Row],[Cost_Variance]]/tbl_Tasks_Clean[[#This Row],[Planned_Cost]],0)</f>
        <v>-0.29666666666666669</v>
      </c>
      <c r="W121" t="str">
        <f>IF(AND(tbl_Tasks_Clean[[#This Row],[Status]]="Completed",tbl_Tasks_Clean[[#This Row],[Delay_Days]]&lt;=0),"On Time",IF(AND(tbl_Tasks_Clean[[#This Row],[Status]]="Completed",tbl_Tasks_Clean[[#This Row],[Delay_Days]]&gt;0),"Late","N/A"))</f>
        <v>On Time</v>
      </c>
      <c r="X121" s="29" t="str" cm="1">
        <f t="array" ref="X121">_xlfn.IFS(tbl_Tasks_Clean[[#This Row],[Planned_Duration_Days]]&lt;=7,"Short (&lt;=7 days)",tbl_Tasks_Clean[[#This Row],[Planned_Duration_Days]]&lt;=20,"Medium (8-20 days)",TRUE,"Long (&gt;20 days)")</f>
        <v>Medium (8-20 days)</v>
      </c>
      <c r="Y121" s="29" t="str">
        <f>INDEX(Projects!$D:$D,MATCH(tbl_Tasks_Clean[[#This Row],[Project_ID]],Projects!$A:$A,0))</f>
        <v>Nourhan Tarek</v>
      </c>
      <c r="Z121" s="29" t="str">
        <f>IF(tbl_Tasks_Clean[[#This Row],[Delay_Days]]&gt;0,"Delayed by "&amp;TEXT(tbl_Tasks_Clean[[#This Row],[Delay_Days]],"0")&amp;" days",IF(tbl_Tasks_Clean[[#This Row],[Delay_Days]]&lt;0,"Early by "&amp;TEXT(-tbl_Tasks_Clean[[#This Row],[Delay_Days]],"0")&amp;" days","On schedule"))</f>
        <v>Early by 3 days</v>
      </c>
    </row>
    <row r="122" spans="1:26" x14ac:dyDescent="0.3">
      <c r="A122" t="s">
        <v>781</v>
      </c>
      <c r="B122" t="s">
        <v>113</v>
      </c>
      <c r="C122" t="s">
        <v>114</v>
      </c>
      <c r="D122" t="s">
        <v>782</v>
      </c>
      <c r="E122" t="s">
        <v>197</v>
      </c>
      <c r="F122" t="s">
        <v>196</v>
      </c>
      <c r="G122" t="s">
        <v>281</v>
      </c>
      <c r="H122" t="s">
        <v>269</v>
      </c>
      <c r="I122">
        <v>2500</v>
      </c>
      <c r="J122">
        <v>2644</v>
      </c>
      <c r="K122" s="22">
        <v>45350</v>
      </c>
      <c r="L122" s="22">
        <v>45356</v>
      </c>
      <c r="M122" s="22">
        <v>45361</v>
      </c>
      <c r="N122">
        <v>6</v>
      </c>
      <c r="O122">
        <v>5</v>
      </c>
      <c r="P122" t="s">
        <v>115</v>
      </c>
      <c r="Q122" t="s">
        <v>116</v>
      </c>
      <c r="R122">
        <v>300000</v>
      </c>
      <c r="S122" t="s">
        <v>197</v>
      </c>
      <c r="T122">
        <v>180</v>
      </c>
      <c r="U122" s="29">
        <f>tbl_Tasks_Clean[[#This Row],[Actual_Cost]]-tbl_Tasks_Clean[[#This Row],[Planned_Cost]]</f>
        <v>144</v>
      </c>
      <c r="V122" s="30">
        <f>IFERROR(tbl_Tasks_Clean[[#This Row],[Cost_Variance]]/tbl_Tasks_Clean[[#This Row],[Planned_Cost]],0)</f>
        <v>5.7599999999999998E-2</v>
      </c>
      <c r="W122" t="str">
        <f>IF(AND(tbl_Tasks_Clean[[#This Row],[Status]]="Completed",tbl_Tasks_Clean[[#This Row],[Delay_Days]]&lt;=0),"On Time",IF(AND(tbl_Tasks_Clean[[#This Row],[Status]]="Completed",tbl_Tasks_Clean[[#This Row],[Delay_Days]]&gt;0),"Late","N/A"))</f>
        <v>N/A</v>
      </c>
      <c r="X122" s="29" t="str" cm="1">
        <f t="array" ref="X122">_xlfn.IFS(tbl_Tasks_Clean[[#This Row],[Planned_Duration_Days]]&lt;=7,"Short (&lt;=7 days)",tbl_Tasks_Clean[[#This Row],[Planned_Duration_Days]]&lt;=20,"Medium (8-20 days)",TRUE,"Long (&gt;20 days)")</f>
        <v>Short (&lt;=7 days)</v>
      </c>
      <c r="Y122" s="29" t="str">
        <f>INDEX(Projects!$D:$D,MATCH(tbl_Tasks_Clean[[#This Row],[Project_ID]],Projects!$A:$A,0))</f>
        <v>Nourhan Tarek</v>
      </c>
      <c r="Z122" s="29" t="str">
        <f>IF(tbl_Tasks_Clean[[#This Row],[Delay_Days]]&gt;0,"Delayed by "&amp;TEXT(tbl_Tasks_Clean[[#This Row],[Delay_Days]],"0")&amp;" days",IF(tbl_Tasks_Clean[[#This Row],[Delay_Days]]&lt;0,"Early by "&amp;TEXT(-tbl_Tasks_Clean[[#This Row],[Delay_Days]],"0")&amp;" days","On schedule"))</f>
        <v>Delayed by 5 days</v>
      </c>
    </row>
    <row r="123" spans="1:26" x14ac:dyDescent="0.3">
      <c r="A123" t="s">
        <v>787</v>
      </c>
      <c r="B123" t="s">
        <v>129</v>
      </c>
      <c r="C123" t="s">
        <v>130</v>
      </c>
      <c r="D123" t="s">
        <v>306</v>
      </c>
      <c r="E123" t="s">
        <v>187</v>
      </c>
      <c r="F123" t="s">
        <v>212</v>
      </c>
      <c r="G123" t="s">
        <v>350</v>
      </c>
      <c r="H123" t="s">
        <v>287</v>
      </c>
      <c r="I123">
        <v>3000</v>
      </c>
      <c r="J123">
        <v>1248</v>
      </c>
      <c r="K123" s="22">
        <v>45325</v>
      </c>
      <c r="L123" s="22">
        <v>45355</v>
      </c>
      <c r="M123" s="22"/>
      <c r="N123">
        <v>30</v>
      </c>
      <c r="O123">
        <v>0</v>
      </c>
      <c r="P123" t="s">
        <v>131</v>
      </c>
      <c r="Q123" t="s">
        <v>94</v>
      </c>
      <c r="R123">
        <v>250000</v>
      </c>
      <c r="S123" t="s">
        <v>206</v>
      </c>
      <c r="T123">
        <v>180</v>
      </c>
      <c r="U123" s="29">
        <f>tbl_Tasks_Clean[[#This Row],[Actual_Cost]]-tbl_Tasks_Clean[[#This Row],[Planned_Cost]]</f>
        <v>-1752</v>
      </c>
      <c r="V123" s="30">
        <f>IFERROR(tbl_Tasks_Clean[[#This Row],[Cost_Variance]]/tbl_Tasks_Clean[[#This Row],[Planned_Cost]],0)</f>
        <v>-0.58399999999999996</v>
      </c>
      <c r="W123" t="str">
        <f>IF(AND(tbl_Tasks_Clean[[#This Row],[Status]]="Completed",tbl_Tasks_Clean[[#This Row],[Delay_Days]]&lt;=0),"On Time",IF(AND(tbl_Tasks_Clean[[#This Row],[Status]]="Completed",tbl_Tasks_Clean[[#This Row],[Delay_Days]]&gt;0),"Late","N/A"))</f>
        <v>N/A</v>
      </c>
      <c r="X123" s="29" t="str" cm="1">
        <f t="array" ref="X123">_xlfn.IFS(tbl_Tasks_Clean[[#This Row],[Planned_Duration_Days]]&lt;=7,"Short (&lt;=7 days)",tbl_Tasks_Clean[[#This Row],[Planned_Duration_Days]]&lt;=20,"Medium (8-20 days)",TRUE,"Long (&gt;20 days)")</f>
        <v>Long (&gt;20 days)</v>
      </c>
      <c r="Y123" s="29" t="str">
        <f>INDEX(Projects!$D:$D,MATCH(tbl_Tasks_Clean[[#This Row],[Project_ID]],Projects!$A:$A,0))</f>
        <v>Ahmed Nabil</v>
      </c>
      <c r="Z123" s="29" t="str">
        <f>IF(tbl_Tasks_Clean[[#This Row],[Delay_Days]]&gt;0,"Delayed by "&amp;TEXT(tbl_Tasks_Clean[[#This Row],[Delay_Days]],"0")&amp;" days",IF(tbl_Tasks_Clean[[#This Row],[Delay_Days]]&lt;0,"Early by "&amp;TEXT(-tbl_Tasks_Clean[[#This Row],[Delay_Days]],"0")&amp;" days","On schedule"))</f>
        <v>On schedule</v>
      </c>
    </row>
    <row r="124" spans="1:26" x14ac:dyDescent="0.3">
      <c r="A124" t="s">
        <v>791</v>
      </c>
      <c r="B124" t="s">
        <v>86</v>
      </c>
      <c r="C124" t="s">
        <v>87</v>
      </c>
      <c r="D124" t="s">
        <v>573</v>
      </c>
      <c r="E124" t="s">
        <v>150</v>
      </c>
      <c r="F124" t="s">
        <v>153</v>
      </c>
      <c r="G124" t="s">
        <v>350</v>
      </c>
      <c r="H124" t="s">
        <v>269</v>
      </c>
      <c r="I124">
        <v>10000</v>
      </c>
      <c r="J124">
        <v>11406</v>
      </c>
      <c r="K124" s="22"/>
      <c r="L124" s="22"/>
      <c r="M124" s="22"/>
      <c r="O124">
        <v>0</v>
      </c>
      <c r="P124" t="s">
        <v>88</v>
      </c>
      <c r="Q124" t="s">
        <v>89</v>
      </c>
      <c r="R124">
        <v>150000</v>
      </c>
      <c r="S124" t="s">
        <v>150</v>
      </c>
      <c r="T124">
        <v>220</v>
      </c>
      <c r="U124" s="29">
        <f>tbl_Tasks_Clean[[#This Row],[Actual_Cost]]-tbl_Tasks_Clean[[#This Row],[Planned_Cost]]</f>
        <v>1406</v>
      </c>
      <c r="V124" s="30">
        <f>IFERROR(tbl_Tasks_Clean[[#This Row],[Cost_Variance]]/tbl_Tasks_Clean[[#This Row],[Planned_Cost]],0)</f>
        <v>0.1406</v>
      </c>
      <c r="W124" t="str">
        <f>IF(AND(tbl_Tasks_Clean[[#This Row],[Status]]="Completed",tbl_Tasks_Clean[[#This Row],[Delay_Days]]&lt;=0),"On Time",IF(AND(tbl_Tasks_Clean[[#This Row],[Status]]="Completed",tbl_Tasks_Clean[[#This Row],[Delay_Days]]&gt;0),"Late","N/A"))</f>
        <v>N/A</v>
      </c>
      <c r="X124" s="29" t="str" cm="1">
        <f t="array" ref="X124">_xlfn.IFS(tbl_Tasks_Clean[[#This Row],[Planned_Duration_Days]]&lt;=7,"Short (&lt;=7 days)",tbl_Tasks_Clean[[#This Row],[Planned_Duration_Days]]&lt;=20,"Medium (8-20 days)",TRUE,"Long (&gt;20 days)")</f>
        <v>Short (&lt;=7 days)</v>
      </c>
      <c r="Y124" s="29" t="str">
        <f>INDEX(Projects!$D:$D,MATCH(tbl_Tasks_Clean[[#This Row],[Project_ID]],Projects!$A:$A,0))</f>
        <v>Youssef Adel</v>
      </c>
      <c r="Z124" s="29" t="str">
        <f>IF(tbl_Tasks_Clean[[#This Row],[Delay_Days]]&gt;0,"Delayed by "&amp;TEXT(tbl_Tasks_Clean[[#This Row],[Delay_Days]],"0")&amp;" days",IF(tbl_Tasks_Clean[[#This Row],[Delay_Days]]&lt;0,"Early by "&amp;TEXT(-tbl_Tasks_Clean[[#This Row],[Delay_Days]],"0")&amp;" days","On schedule"))</f>
        <v>On schedule</v>
      </c>
    </row>
    <row r="125" spans="1:26" x14ac:dyDescent="0.3">
      <c r="A125" t="s">
        <v>795</v>
      </c>
      <c r="B125" t="s">
        <v>81</v>
      </c>
      <c r="C125" t="s">
        <v>82</v>
      </c>
      <c r="D125" t="s">
        <v>355</v>
      </c>
      <c r="E125" t="s">
        <v>206</v>
      </c>
      <c r="F125" t="s">
        <v>176</v>
      </c>
      <c r="G125" t="s">
        <v>281</v>
      </c>
      <c r="H125" t="s">
        <v>287</v>
      </c>
      <c r="I125">
        <v>2500</v>
      </c>
      <c r="J125">
        <v>837</v>
      </c>
      <c r="K125" s="22">
        <v>45570</v>
      </c>
      <c r="L125" s="22">
        <v>45576</v>
      </c>
      <c r="M125" s="22"/>
      <c r="N125">
        <v>6</v>
      </c>
      <c r="O125">
        <v>0</v>
      </c>
      <c r="P125" t="s">
        <v>83</v>
      </c>
      <c r="Q125" t="s">
        <v>84</v>
      </c>
      <c r="R125">
        <v>75000</v>
      </c>
      <c r="S125" t="s">
        <v>177</v>
      </c>
      <c r="T125">
        <v>250</v>
      </c>
      <c r="U125" s="29">
        <f>tbl_Tasks_Clean[[#This Row],[Actual_Cost]]-tbl_Tasks_Clean[[#This Row],[Planned_Cost]]</f>
        <v>-1663</v>
      </c>
      <c r="V125" s="30">
        <f>IFERROR(tbl_Tasks_Clean[[#This Row],[Cost_Variance]]/tbl_Tasks_Clean[[#This Row],[Planned_Cost]],0)</f>
        <v>-0.66520000000000001</v>
      </c>
      <c r="W125" t="str">
        <f>IF(AND(tbl_Tasks_Clean[[#This Row],[Status]]="Completed",tbl_Tasks_Clean[[#This Row],[Delay_Days]]&lt;=0),"On Time",IF(AND(tbl_Tasks_Clean[[#This Row],[Status]]="Completed",tbl_Tasks_Clean[[#This Row],[Delay_Days]]&gt;0),"Late","N/A"))</f>
        <v>N/A</v>
      </c>
      <c r="X125" s="29" t="str" cm="1">
        <f t="array" ref="X125">_xlfn.IFS(tbl_Tasks_Clean[[#This Row],[Planned_Duration_Days]]&lt;=7,"Short (&lt;=7 days)",tbl_Tasks_Clean[[#This Row],[Planned_Duration_Days]]&lt;=20,"Medium (8-20 days)",TRUE,"Long (&gt;20 days)")</f>
        <v>Short (&lt;=7 days)</v>
      </c>
      <c r="Y125" s="29" t="str">
        <f>INDEX(Projects!$D:$D,MATCH(tbl_Tasks_Clean[[#This Row],[Project_ID]],Projects!$A:$A,0))</f>
        <v>Mona Farid</v>
      </c>
      <c r="Z125" s="29" t="str">
        <f>IF(tbl_Tasks_Clean[[#This Row],[Delay_Days]]&gt;0,"Delayed by "&amp;TEXT(tbl_Tasks_Clean[[#This Row],[Delay_Days]],"0")&amp;" days",IF(tbl_Tasks_Clean[[#This Row],[Delay_Days]]&lt;0,"Early by "&amp;TEXT(-tbl_Tasks_Clean[[#This Row],[Delay_Days]],"0")&amp;" days","On schedule"))</f>
        <v>On schedule</v>
      </c>
    </row>
    <row r="126" spans="1:26" x14ac:dyDescent="0.3">
      <c r="A126" t="s">
        <v>799</v>
      </c>
      <c r="B126" t="s">
        <v>133</v>
      </c>
      <c r="C126" t="s">
        <v>134</v>
      </c>
      <c r="D126" t="s">
        <v>800</v>
      </c>
      <c r="E126" t="s">
        <v>197</v>
      </c>
      <c r="F126" t="s">
        <v>155</v>
      </c>
      <c r="G126" t="s">
        <v>281</v>
      </c>
      <c r="H126" t="s">
        <v>356</v>
      </c>
      <c r="I126">
        <v>2500</v>
      </c>
      <c r="J126">
        <v>2311</v>
      </c>
      <c r="K126" s="22">
        <v>45394</v>
      </c>
      <c r="L126" s="22">
        <v>45406</v>
      </c>
      <c r="M126" s="22">
        <v>45408</v>
      </c>
      <c r="N126">
        <v>12</v>
      </c>
      <c r="O126">
        <v>2</v>
      </c>
      <c r="P126" t="s">
        <v>111</v>
      </c>
      <c r="Q126" t="s">
        <v>116</v>
      </c>
      <c r="R126">
        <v>200000</v>
      </c>
      <c r="S126" t="s">
        <v>150</v>
      </c>
      <c r="T126">
        <v>280</v>
      </c>
      <c r="U126" s="29">
        <f>tbl_Tasks_Clean[[#This Row],[Actual_Cost]]-tbl_Tasks_Clean[[#This Row],[Planned_Cost]]</f>
        <v>-189</v>
      </c>
      <c r="V126" s="30">
        <f>IFERROR(tbl_Tasks_Clean[[#This Row],[Cost_Variance]]/tbl_Tasks_Clean[[#This Row],[Planned_Cost]],0)</f>
        <v>-7.5600000000000001E-2</v>
      </c>
      <c r="W126" t="str">
        <f>IF(AND(tbl_Tasks_Clean[[#This Row],[Status]]="Completed",tbl_Tasks_Clean[[#This Row],[Delay_Days]]&lt;=0),"On Time",IF(AND(tbl_Tasks_Clean[[#This Row],[Status]]="Completed",tbl_Tasks_Clean[[#This Row],[Delay_Days]]&gt;0),"Late","N/A"))</f>
        <v>N/A</v>
      </c>
      <c r="X126" s="29" t="str" cm="1">
        <f t="array" ref="X126">_xlfn.IFS(tbl_Tasks_Clean[[#This Row],[Planned_Duration_Days]]&lt;=7,"Short (&lt;=7 days)",tbl_Tasks_Clean[[#This Row],[Planned_Duration_Days]]&lt;=20,"Medium (8-20 days)",TRUE,"Long (&gt;20 days)")</f>
        <v>Medium (8-20 days)</v>
      </c>
      <c r="Y126" s="29" t="str">
        <f>INDEX(Projects!$D:$D,MATCH(tbl_Tasks_Clean[[#This Row],[Project_ID]],Projects!$A:$A,0))</f>
        <v>Nourhan Tarek</v>
      </c>
      <c r="Z126" s="29" t="str">
        <f>IF(tbl_Tasks_Clean[[#This Row],[Delay_Days]]&gt;0,"Delayed by "&amp;TEXT(tbl_Tasks_Clean[[#This Row],[Delay_Days]],"0")&amp;" days",IF(tbl_Tasks_Clean[[#This Row],[Delay_Days]]&lt;0,"Early by "&amp;TEXT(-tbl_Tasks_Clean[[#This Row],[Delay_Days]],"0")&amp;" days","On schedule"))</f>
        <v>Delayed by 2 days</v>
      </c>
    </row>
    <row r="127" spans="1:26" x14ac:dyDescent="0.3">
      <c r="A127" t="s">
        <v>804</v>
      </c>
      <c r="B127" t="s">
        <v>86</v>
      </c>
      <c r="C127" t="s">
        <v>87</v>
      </c>
      <c r="D127" t="s">
        <v>805</v>
      </c>
      <c r="E127" t="s">
        <v>206</v>
      </c>
      <c r="F127" t="s">
        <v>183</v>
      </c>
      <c r="G127" t="s">
        <v>250</v>
      </c>
      <c r="H127" t="s">
        <v>314</v>
      </c>
      <c r="I127">
        <v>1500</v>
      </c>
      <c r="J127">
        <v>1359</v>
      </c>
      <c r="K127" s="22"/>
      <c r="L127" s="22"/>
      <c r="M127" s="22"/>
      <c r="O127">
        <v>0</v>
      </c>
      <c r="P127" t="s">
        <v>88</v>
      </c>
      <c r="Q127" t="s">
        <v>89</v>
      </c>
      <c r="R127">
        <v>150000</v>
      </c>
      <c r="S127" t="s">
        <v>177</v>
      </c>
      <c r="T127">
        <v>220</v>
      </c>
      <c r="U127" s="29">
        <f>tbl_Tasks_Clean[[#This Row],[Actual_Cost]]-tbl_Tasks_Clean[[#This Row],[Planned_Cost]]</f>
        <v>-141</v>
      </c>
      <c r="V127" s="30">
        <f>IFERROR(tbl_Tasks_Clean[[#This Row],[Cost_Variance]]/tbl_Tasks_Clean[[#This Row],[Planned_Cost]],0)</f>
        <v>-9.4E-2</v>
      </c>
      <c r="W127" t="str">
        <f>IF(AND(tbl_Tasks_Clean[[#This Row],[Status]]="Completed",tbl_Tasks_Clean[[#This Row],[Delay_Days]]&lt;=0),"On Time",IF(AND(tbl_Tasks_Clean[[#This Row],[Status]]="Completed",tbl_Tasks_Clean[[#This Row],[Delay_Days]]&gt;0),"Late","N/A"))</f>
        <v>On Time</v>
      </c>
      <c r="X127" s="29" t="str" cm="1">
        <f t="array" ref="X127">_xlfn.IFS(tbl_Tasks_Clean[[#This Row],[Planned_Duration_Days]]&lt;=7,"Short (&lt;=7 days)",tbl_Tasks_Clean[[#This Row],[Planned_Duration_Days]]&lt;=20,"Medium (8-20 days)",TRUE,"Long (&gt;20 days)")</f>
        <v>Short (&lt;=7 days)</v>
      </c>
      <c r="Y127" s="29" t="str">
        <f>INDEX(Projects!$D:$D,MATCH(tbl_Tasks_Clean[[#This Row],[Project_ID]],Projects!$A:$A,0))</f>
        <v>Youssef Adel</v>
      </c>
      <c r="Z127" s="29" t="str">
        <f>IF(tbl_Tasks_Clean[[#This Row],[Delay_Days]]&gt;0,"Delayed by "&amp;TEXT(tbl_Tasks_Clean[[#This Row],[Delay_Days]],"0")&amp;" days",IF(tbl_Tasks_Clean[[#This Row],[Delay_Days]]&lt;0,"Early by "&amp;TEXT(-tbl_Tasks_Clean[[#This Row],[Delay_Days]],"0")&amp;" days","On schedule"))</f>
        <v>On schedule</v>
      </c>
    </row>
    <row r="128" spans="1:26" x14ac:dyDescent="0.3">
      <c r="A128" t="s">
        <v>809</v>
      </c>
      <c r="B128" t="s">
        <v>129</v>
      </c>
      <c r="C128" t="s">
        <v>130</v>
      </c>
      <c r="D128" t="s">
        <v>686</v>
      </c>
      <c r="E128" t="s">
        <v>150</v>
      </c>
      <c r="F128" t="s">
        <v>172</v>
      </c>
      <c r="G128" t="s">
        <v>281</v>
      </c>
      <c r="H128" t="s">
        <v>314</v>
      </c>
      <c r="I128">
        <v>4000</v>
      </c>
      <c r="J128">
        <v>0</v>
      </c>
      <c r="K128" s="22">
        <v>45334</v>
      </c>
      <c r="L128" s="22">
        <v>45361</v>
      </c>
      <c r="M128" s="22">
        <v>45361</v>
      </c>
      <c r="N128">
        <v>27</v>
      </c>
      <c r="O128">
        <v>0</v>
      </c>
      <c r="P128" t="s">
        <v>131</v>
      </c>
      <c r="Q128" t="s">
        <v>94</v>
      </c>
      <c r="R128">
        <v>250000</v>
      </c>
      <c r="S128" t="s">
        <v>164</v>
      </c>
      <c r="T128">
        <v>200</v>
      </c>
      <c r="U128" s="29">
        <f>tbl_Tasks_Clean[[#This Row],[Actual_Cost]]-tbl_Tasks_Clean[[#This Row],[Planned_Cost]]</f>
        <v>-4000</v>
      </c>
      <c r="V128" s="30">
        <f>IFERROR(tbl_Tasks_Clean[[#This Row],[Cost_Variance]]/tbl_Tasks_Clean[[#This Row],[Planned_Cost]],0)</f>
        <v>-1</v>
      </c>
      <c r="W128" t="str">
        <f>IF(AND(tbl_Tasks_Clean[[#This Row],[Status]]="Completed",tbl_Tasks_Clean[[#This Row],[Delay_Days]]&lt;=0),"On Time",IF(AND(tbl_Tasks_Clean[[#This Row],[Status]]="Completed",tbl_Tasks_Clean[[#This Row],[Delay_Days]]&gt;0),"Late","N/A"))</f>
        <v>On Time</v>
      </c>
      <c r="X128" s="29" t="str" cm="1">
        <f t="array" ref="X128">_xlfn.IFS(tbl_Tasks_Clean[[#This Row],[Planned_Duration_Days]]&lt;=7,"Short (&lt;=7 days)",tbl_Tasks_Clean[[#This Row],[Planned_Duration_Days]]&lt;=20,"Medium (8-20 days)",TRUE,"Long (&gt;20 days)")</f>
        <v>Long (&gt;20 days)</v>
      </c>
      <c r="Y128" s="29" t="str">
        <f>INDEX(Projects!$D:$D,MATCH(tbl_Tasks_Clean[[#This Row],[Project_ID]],Projects!$A:$A,0))</f>
        <v>Ahmed Nabil</v>
      </c>
      <c r="Z128" s="29" t="str">
        <f>IF(tbl_Tasks_Clean[[#This Row],[Delay_Days]]&gt;0,"Delayed by "&amp;TEXT(tbl_Tasks_Clean[[#This Row],[Delay_Days]],"0")&amp;" days",IF(tbl_Tasks_Clean[[#This Row],[Delay_Days]]&lt;0,"Early by "&amp;TEXT(-tbl_Tasks_Clean[[#This Row],[Delay_Days]],"0")&amp;" days","On schedule"))</f>
        <v>On schedule</v>
      </c>
    </row>
    <row r="129" spans="1:26" x14ac:dyDescent="0.3">
      <c r="A129" t="s">
        <v>812</v>
      </c>
      <c r="B129" t="s">
        <v>126</v>
      </c>
      <c r="C129" t="s">
        <v>127</v>
      </c>
      <c r="D129" t="s">
        <v>763</v>
      </c>
      <c r="E129" t="s">
        <v>164</v>
      </c>
      <c r="F129" t="s">
        <v>161</v>
      </c>
      <c r="G129" t="s">
        <v>250</v>
      </c>
      <c r="H129" t="s">
        <v>314</v>
      </c>
      <c r="I129">
        <v>1000</v>
      </c>
      <c r="J129">
        <v>1032</v>
      </c>
      <c r="K129" s="22"/>
      <c r="L129" s="22"/>
      <c r="M129" s="22"/>
      <c r="O129">
        <v>0</v>
      </c>
      <c r="P129" t="s">
        <v>128</v>
      </c>
      <c r="Q129" t="s">
        <v>94</v>
      </c>
      <c r="R129">
        <v>200000</v>
      </c>
      <c r="S129" t="s">
        <v>150</v>
      </c>
      <c r="T129">
        <v>220</v>
      </c>
      <c r="U129" s="29">
        <f>tbl_Tasks_Clean[[#This Row],[Actual_Cost]]-tbl_Tasks_Clean[[#This Row],[Planned_Cost]]</f>
        <v>32</v>
      </c>
      <c r="V129" s="30">
        <f>IFERROR(tbl_Tasks_Clean[[#This Row],[Cost_Variance]]/tbl_Tasks_Clean[[#This Row],[Planned_Cost]],0)</f>
        <v>3.2000000000000001E-2</v>
      </c>
      <c r="W129" t="str">
        <f>IF(AND(tbl_Tasks_Clean[[#This Row],[Status]]="Completed",tbl_Tasks_Clean[[#This Row],[Delay_Days]]&lt;=0),"On Time",IF(AND(tbl_Tasks_Clean[[#This Row],[Status]]="Completed",tbl_Tasks_Clean[[#This Row],[Delay_Days]]&gt;0),"Late","N/A"))</f>
        <v>On Time</v>
      </c>
      <c r="X129" s="29" t="str" cm="1">
        <f t="array" ref="X129">_xlfn.IFS(tbl_Tasks_Clean[[#This Row],[Planned_Duration_Days]]&lt;=7,"Short (&lt;=7 days)",tbl_Tasks_Clean[[#This Row],[Planned_Duration_Days]]&lt;=20,"Medium (8-20 days)",TRUE,"Long (&gt;20 days)")</f>
        <v>Short (&lt;=7 days)</v>
      </c>
      <c r="Y129" s="29" t="str">
        <f>INDEX(Projects!$D:$D,MATCH(tbl_Tasks_Clean[[#This Row],[Project_ID]],Projects!$A:$A,0))</f>
        <v>Ahmed Nabil</v>
      </c>
      <c r="Z129" s="29" t="str">
        <f>IF(tbl_Tasks_Clean[[#This Row],[Delay_Days]]&gt;0,"Delayed by "&amp;TEXT(tbl_Tasks_Clean[[#This Row],[Delay_Days]],"0")&amp;" days",IF(tbl_Tasks_Clean[[#This Row],[Delay_Days]]&lt;0,"Early by "&amp;TEXT(-tbl_Tasks_Clean[[#This Row],[Delay_Days]],"0")&amp;" days","On schedule"))</f>
        <v>On schedule</v>
      </c>
    </row>
    <row r="130" spans="1:26" x14ac:dyDescent="0.3">
      <c r="A130" t="s">
        <v>814</v>
      </c>
      <c r="B130" t="s">
        <v>133</v>
      </c>
      <c r="C130" t="s">
        <v>134</v>
      </c>
      <c r="D130" t="s">
        <v>1444</v>
      </c>
      <c r="E130" t="s">
        <v>164</v>
      </c>
      <c r="F130" t="s">
        <v>161</v>
      </c>
      <c r="G130" t="s">
        <v>350</v>
      </c>
      <c r="H130" t="s">
        <v>269</v>
      </c>
      <c r="I130">
        <v>1500</v>
      </c>
      <c r="J130">
        <v>1834</v>
      </c>
      <c r="K130" s="22">
        <v>45520</v>
      </c>
      <c r="L130" s="22">
        <v>45549</v>
      </c>
      <c r="M130" s="22">
        <v>45559</v>
      </c>
      <c r="N130">
        <v>29</v>
      </c>
      <c r="O130">
        <v>10</v>
      </c>
      <c r="P130" t="s">
        <v>111</v>
      </c>
      <c r="Q130" t="s">
        <v>116</v>
      </c>
      <c r="R130">
        <v>200000</v>
      </c>
      <c r="S130" t="s">
        <v>150</v>
      </c>
      <c r="T130">
        <v>220</v>
      </c>
      <c r="U130" s="29">
        <f>tbl_Tasks_Clean[[#This Row],[Actual_Cost]]-tbl_Tasks_Clean[[#This Row],[Planned_Cost]]</f>
        <v>334</v>
      </c>
      <c r="V130" s="30">
        <f>IFERROR(tbl_Tasks_Clean[[#This Row],[Cost_Variance]]/tbl_Tasks_Clean[[#This Row],[Planned_Cost]],0)</f>
        <v>0.22266666666666668</v>
      </c>
      <c r="W130" t="str">
        <f>IF(AND(tbl_Tasks_Clean[[#This Row],[Status]]="Completed",tbl_Tasks_Clean[[#This Row],[Delay_Days]]&lt;=0),"On Time",IF(AND(tbl_Tasks_Clean[[#This Row],[Status]]="Completed",tbl_Tasks_Clean[[#This Row],[Delay_Days]]&gt;0),"Late","N/A"))</f>
        <v>N/A</v>
      </c>
      <c r="X130" s="29" t="str" cm="1">
        <f t="array" ref="X130">_xlfn.IFS(tbl_Tasks_Clean[[#This Row],[Planned_Duration_Days]]&lt;=7,"Short (&lt;=7 days)",tbl_Tasks_Clean[[#This Row],[Planned_Duration_Days]]&lt;=20,"Medium (8-20 days)",TRUE,"Long (&gt;20 days)")</f>
        <v>Long (&gt;20 days)</v>
      </c>
      <c r="Y130" s="29" t="str">
        <f>INDEX(Projects!$D:$D,MATCH(tbl_Tasks_Clean[[#This Row],[Project_ID]],Projects!$A:$A,0))</f>
        <v>Nourhan Tarek</v>
      </c>
      <c r="Z130" s="29" t="str">
        <f>IF(tbl_Tasks_Clean[[#This Row],[Delay_Days]]&gt;0,"Delayed by "&amp;TEXT(tbl_Tasks_Clean[[#This Row],[Delay_Days]],"0")&amp;" days",IF(tbl_Tasks_Clean[[#This Row],[Delay_Days]]&lt;0,"Early by "&amp;TEXT(-tbl_Tasks_Clean[[#This Row],[Delay_Days]],"0")&amp;" days","On schedule"))</f>
        <v>Delayed by 10 days</v>
      </c>
    </row>
    <row r="131" spans="1:26" x14ac:dyDescent="0.3">
      <c r="A131" t="s">
        <v>820</v>
      </c>
      <c r="B131" t="s">
        <v>101</v>
      </c>
      <c r="C131" t="s">
        <v>102</v>
      </c>
      <c r="D131" t="s">
        <v>821</v>
      </c>
      <c r="F131" t="s">
        <v>153</v>
      </c>
      <c r="G131" t="s">
        <v>1443</v>
      </c>
      <c r="H131" t="s">
        <v>276</v>
      </c>
      <c r="I131">
        <v>10000</v>
      </c>
      <c r="J131">
        <v>0</v>
      </c>
      <c r="K131" s="22">
        <v>45392</v>
      </c>
      <c r="L131" s="22">
        <v>45407</v>
      </c>
      <c r="M131" s="22"/>
      <c r="N131">
        <v>15</v>
      </c>
      <c r="O131">
        <v>0</v>
      </c>
      <c r="P131" t="s">
        <v>103</v>
      </c>
      <c r="Q131" t="s">
        <v>94</v>
      </c>
      <c r="R131">
        <v>50000</v>
      </c>
      <c r="S131" t="s">
        <v>150</v>
      </c>
      <c r="T131">
        <v>220</v>
      </c>
      <c r="U131" s="29">
        <f>tbl_Tasks_Clean[[#This Row],[Actual_Cost]]-tbl_Tasks_Clean[[#This Row],[Planned_Cost]]</f>
        <v>-10000</v>
      </c>
      <c r="V131" s="30">
        <f>IFERROR(tbl_Tasks_Clean[[#This Row],[Cost_Variance]]/tbl_Tasks_Clean[[#This Row],[Planned_Cost]],0)</f>
        <v>-1</v>
      </c>
      <c r="W131" t="str">
        <f>IF(AND(tbl_Tasks_Clean[[#This Row],[Status]]="Completed",tbl_Tasks_Clean[[#This Row],[Delay_Days]]&lt;=0),"On Time",IF(AND(tbl_Tasks_Clean[[#This Row],[Status]]="Completed",tbl_Tasks_Clean[[#This Row],[Delay_Days]]&gt;0),"Late","N/A"))</f>
        <v>N/A</v>
      </c>
      <c r="X131" s="29" t="str" cm="1">
        <f t="array" ref="X131">_xlfn.IFS(tbl_Tasks_Clean[[#This Row],[Planned_Duration_Days]]&lt;=7,"Short (&lt;=7 days)",tbl_Tasks_Clean[[#This Row],[Planned_Duration_Days]]&lt;=20,"Medium (8-20 days)",TRUE,"Long (&gt;20 days)")</f>
        <v>Medium (8-20 days)</v>
      </c>
      <c r="Y131" s="29" t="str">
        <f>INDEX(Projects!$D:$D,MATCH(tbl_Tasks_Clean[[#This Row],[Project_ID]],Projects!$A:$A,0))</f>
        <v>Ahmed Nabil</v>
      </c>
      <c r="Z131" s="29" t="str">
        <f>IF(tbl_Tasks_Clean[[#This Row],[Delay_Days]]&gt;0,"Delayed by "&amp;TEXT(tbl_Tasks_Clean[[#This Row],[Delay_Days]],"0")&amp;" days",IF(tbl_Tasks_Clean[[#This Row],[Delay_Days]]&lt;0,"Early by "&amp;TEXT(-tbl_Tasks_Clean[[#This Row],[Delay_Days]],"0")&amp;" days","On schedule"))</f>
        <v>On schedule</v>
      </c>
    </row>
    <row r="132" spans="1:26" x14ac:dyDescent="0.3">
      <c r="A132" t="s">
        <v>824</v>
      </c>
      <c r="B132" t="s">
        <v>105</v>
      </c>
      <c r="C132" t="s">
        <v>106</v>
      </c>
      <c r="D132" t="s">
        <v>695</v>
      </c>
      <c r="E132" t="s">
        <v>177</v>
      </c>
      <c r="F132" t="s">
        <v>196</v>
      </c>
      <c r="G132" t="s">
        <v>250</v>
      </c>
      <c r="H132" t="s">
        <v>319</v>
      </c>
      <c r="I132">
        <v>3000</v>
      </c>
      <c r="J132">
        <v>732</v>
      </c>
      <c r="K132" s="22">
        <v>45439</v>
      </c>
      <c r="L132" s="22">
        <v>45459</v>
      </c>
      <c r="M132" s="22"/>
      <c r="N132">
        <v>20</v>
      </c>
      <c r="O132">
        <v>0</v>
      </c>
      <c r="P132" t="s">
        <v>107</v>
      </c>
      <c r="Q132" t="s">
        <v>84</v>
      </c>
      <c r="R132">
        <v>120000</v>
      </c>
      <c r="S132" t="s">
        <v>197</v>
      </c>
      <c r="T132">
        <v>180</v>
      </c>
      <c r="U132" s="29">
        <f>tbl_Tasks_Clean[[#This Row],[Actual_Cost]]-tbl_Tasks_Clean[[#This Row],[Planned_Cost]]</f>
        <v>-2268</v>
      </c>
      <c r="V132" s="30">
        <f>IFERROR(tbl_Tasks_Clean[[#This Row],[Cost_Variance]]/tbl_Tasks_Clean[[#This Row],[Planned_Cost]],0)</f>
        <v>-0.75600000000000001</v>
      </c>
      <c r="W132" t="str">
        <f>IF(AND(tbl_Tasks_Clean[[#This Row],[Status]]="Completed",tbl_Tasks_Clean[[#This Row],[Delay_Days]]&lt;=0),"On Time",IF(AND(tbl_Tasks_Clean[[#This Row],[Status]]="Completed",tbl_Tasks_Clean[[#This Row],[Delay_Days]]&gt;0),"Late","N/A"))</f>
        <v>N/A</v>
      </c>
      <c r="X132" s="29" t="str" cm="1">
        <f t="array" ref="X132">_xlfn.IFS(tbl_Tasks_Clean[[#This Row],[Planned_Duration_Days]]&lt;=7,"Short (&lt;=7 days)",tbl_Tasks_Clean[[#This Row],[Planned_Duration_Days]]&lt;=20,"Medium (8-20 days)",TRUE,"Long (&gt;20 days)")</f>
        <v>Medium (8-20 days)</v>
      </c>
      <c r="Y132" s="29" t="str">
        <f>INDEX(Projects!$D:$D,MATCH(tbl_Tasks_Clean[[#This Row],[Project_ID]],Projects!$A:$A,0))</f>
        <v>Mona Farid</v>
      </c>
      <c r="Z132" s="29" t="str">
        <f>IF(tbl_Tasks_Clean[[#This Row],[Delay_Days]]&gt;0,"Delayed by "&amp;TEXT(tbl_Tasks_Clean[[#This Row],[Delay_Days]],"0")&amp;" days",IF(tbl_Tasks_Clean[[#This Row],[Delay_Days]]&lt;0,"Early by "&amp;TEXT(-tbl_Tasks_Clean[[#This Row],[Delay_Days]],"0")&amp;" days","On schedule"))</f>
        <v>On schedule</v>
      </c>
    </row>
    <row r="133" spans="1:26" x14ac:dyDescent="0.3">
      <c r="A133" t="s">
        <v>827</v>
      </c>
      <c r="B133" t="s">
        <v>105</v>
      </c>
      <c r="C133" t="s">
        <v>106</v>
      </c>
      <c r="D133" t="s">
        <v>828</v>
      </c>
      <c r="E133" t="s">
        <v>150</v>
      </c>
      <c r="F133" t="s">
        <v>196</v>
      </c>
      <c r="G133" t="s">
        <v>250</v>
      </c>
      <c r="H133" t="s">
        <v>287</v>
      </c>
      <c r="I133">
        <v>10000</v>
      </c>
      <c r="J133">
        <v>5055</v>
      </c>
      <c r="K133" s="22">
        <v>45383</v>
      </c>
      <c r="L133" s="22">
        <v>45392</v>
      </c>
      <c r="M133" s="22"/>
      <c r="N133">
        <v>9</v>
      </c>
      <c r="O133">
        <v>0</v>
      </c>
      <c r="P133" t="s">
        <v>107</v>
      </c>
      <c r="Q133" t="s">
        <v>84</v>
      </c>
      <c r="R133">
        <v>120000</v>
      </c>
      <c r="S133" t="s">
        <v>197</v>
      </c>
      <c r="T133">
        <v>180</v>
      </c>
      <c r="U133" s="29">
        <f>tbl_Tasks_Clean[[#This Row],[Actual_Cost]]-tbl_Tasks_Clean[[#This Row],[Planned_Cost]]</f>
        <v>-4945</v>
      </c>
      <c r="V133" s="30">
        <f>IFERROR(tbl_Tasks_Clean[[#This Row],[Cost_Variance]]/tbl_Tasks_Clean[[#This Row],[Planned_Cost]],0)</f>
        <v>-0.4945</v>
      </c>
      <c r="W133" t="str">
        <f>IF(AND(tbl_Tasks_Clean[[#This Row],[Status]]="Completed",tbl_Tasks_Clean[[#This Row],[Delay_Days]]&lt;=0),"On Time",IF(AND(tbl_Tasks_Clean[[#This Row],[Status]]="Completed",tbl_Tasks_Clean[[#This Row],[Delay_Days]]&gt;0),"Late","N/A"))</f>
        <v>N/A</v>
      </c>
      <c r="X133" s="29" t="str" cm="1">
        <f t="array" ref="X133">_xlfn.IFS(tbl_Tasks_Clean[[#This Row],[Planned_Duration_Days]]&lt;=7,"Short (&lt;=7 days)",tbl_Tasks_Clean[[#This Row],[Planned_Duration_Days]]&lt;=20,"Medium (8-20 days)",TRUE,"Long (&gt;20 days)")</f>
        <v>Medium (8-20 days)</v>
      </c>
      <c r="Y133" s="29" t="str">
        <f>INDEX(Projects!$D:$D,MATCH(tbl_Tasks_Clean[[#This Row],[Project_ID]],Projects!$A:$A,0))</f>
        <v>Mona Farid</v>
      </c>
      <c r="Z133" s="29" t="str">
        <f>IF(tbl_Tasks_Clean[[#This Row],[Delay_Days]]&gt;0,"Delayed by "&amp;TEXT(tbl_Tasks_Clean[[#This Row],[Delay_Days]],"0")&amp;" days",IF(tbl_Tasks_Clean[[#This Row],[Delay_Days]]&lt;0,"Early by "&amp;TEXT(-tbl_Tasks_Clean[[#This Row],[Delay_Days]],"0")&amp;" days","On schedule"))</f>
        <v>On schedule</v>
      </c>
    </row>
    <row r="134" spans="1:26" x14ac:dyDescent="0.3">
      <c r="A134" t="s">
        <v>830</v>
      </c>
      <c r="B134" t="s">
        <v>122</v>
      </c>
      <c r="C134" t="s">
        <v>123</v>
      </c>
      <c r="D134" t="s">
        <v>1070</v>
      </c>
      <c r="E134" t="s">
        <v>150</v>
      </c>
      <c r="F134" t="s">
        <v>224</v>
      </c>
      <c r="G134" t="s">
        <v>350</v>
      </c>
      <c r="H134" t="s">
        <v>314</v>
      </c>
      <c r="I134">
        <v>0</v>
      </c>
      <c r="J134">
        <v>1529</v>
      </c>
      <c r="K134" s="22">
        <v>45429</v>
      </c>
      <c r="L134" s="22">
        <v>45452</v>
      </c>
      <c r="M134" s="22">
        <v>45452</v>
      </c>
      <c r="N134">
        <v>23</v>
      </c>
      <c r="O134">
        <v>0</v>
      </c>
      <c r="P134" t="s">
        <v>111</v>
      </c>
      <c r="Q134" t="s">
        <v>124</v>
      </c>
      <c r="R134">
        <v>150000</v>
      </c>
      <c r="S134" t="s">
        <v>219</v>
      </c>
      <c r="T134">
        <v>200</v>
      </c>
      <c r="U134" s="29">
        <f>tbl_Tasks_Clean[[#This Row],[Actual_Cost]]-tbl_Tasks_Clean[[#This Row],[Planned_Cost]]</f>
        <v>1529</v>
      </c>
      <c r="V134" s="30">
        <f>IFERROR(tbl_Tasks_Clean[[#This Row],[Cost_Variance]]/tbl_Tasks_Clean[[#This Row],[Planned_Cost]],0)</f>
        <v>0</v>
      </c>
      <c r="W134" t="str">
        <f>IF(AND(tbl_Tasks_Clean[[#This Row],[Status]]="Completed",tbl_Tasks_Clean[[#This Row],[Delay_Days]]&lt;=0),"On Time",IF(AND(tbl_Tasks_Clean[[#This Row],[Status]]="Completed",tbl_Tasks_Clean[[#This Row],[Delay_Days]]&gt;0),"Late","N/A"))</f>
        <v>On Time</v>
      </c>
      <c r="X134" s="29" t="str" cm="1">
        <f t="array" ref="X134">_xlfn.IFS(tbl_Tasks_Clean[[#This Row],[Planned_Duration_Days]]&lt;=7,"Short (&lt;=7 days)",tbl_Tasks_Clean[[#This Row],[Planned_Duration_Days]]&lt;=20,"Medium (8-20 days)",TRUE,"Long (&gt;20 days)")</f>
        <v>Long (&gt;20 days)</v>
      </c>
      <c r="Y134" s="29" t="str">
        <f>INDEX(Projects!$D:$D,MATCH(tbl_Tasks_Clean[[#This Row],[Project_ID]],Projects!$A:$A,0))</f>
        <v>Sara Hassan</v>
      </c>
      <c r="Z134" s="29" t="str">
        <f>IF(tbl_Tasks_Clean[[#This Row],[Delay_Days]]&gt;0,"Delayed by "&amp;TEXT(tbl_Tasks_Clean[[#This Row],[Delay_Days]],"0")&amp;" days",IF(tbl_Tasks_Clean[[#This Row],[Delay_Days]]&lt;0,"Early by "&amp;TEXT(-tbl_Tasks_Clean[[#This Row],[Delay_Days]],"0")&amp;" days","On schedule"))</f>
        <v>On schedule</v>
      </c>
    </row>
    <row r="135" spans="1:26" x14ac:dyDescent="0.3">
      <c r="A135" t="s">
        <v>835</v>
      </c>
      <c r="B135" t="s">
        <v>101</v>
      </c>
      <c r="C135" t="s">
        <v>102</v>
      </c>
      <c r="D135" t="s">
        <v>836</v>
      </c>
      <c r="E135" t="s">
        <v>206</v>
      </c>
      <c r="F135" t="s">
        <v>190</v>
      </c>
      <c r="G135" t="s">
        <v>250</v>
      </c>
      <c r="H135" t="s">
        <v>314</v>
      </c>
      <c r="I135">
        <v>1500</v>
      </c>
      <c r="J135">
        <v>1802</v>
      </c>
      <c r="K135" s="22">
        <v>45346</v>
      </c>
      <c r="L135" s="22">
        <v>45374</v>
      </c>
      <c r="M135" s="22">
        <v>45372</v>
      </c>
      <c r="N135">
        <v>28</v>
      </c>
      <c r="O135">
        <v>-2</v>
      </c>
      <c r="P135" t="s">
        <v>103</v>
      </c>
      <c r="Q135" t="s">
        <v>94</v>
      </c>
      <c r="R135">
        <v>50000</v>
      </c>
      <c r="S135" t="s">
        <v>187</v>
      </c>
      <c r="T135">
        <v>280</v>
      </c>
      <c r="U135" s="29">
        <f>tbl_Tasks_Clean[[#This Row],[Actual_Cost]]-tbl_Tasks_Clean[[#This Row],[Planned_Cost]]</f>
        <v>302</v>
      </c>
      <c r="V135" s="30">
        <f>IFERROR(tbl_Tasks_Clean[[#This Row],[Cost_Variance]]/tbl_Tasks_Clean[[#This Row],[Planned_Cost]],0)</f>
        <v>0.20133333333333334</v>
      </c>
      <c r="W135" t="str">
        <f>IF(AND(tbl_Tasks_Clean[[#This Row],[Status]]="Completed",tbl_Tasks_Clean[[#This Row],[Delay_Days]]&lt;=0),"On Time",IF(AND(tbl_Tasks_Clean[[#This Row],[Status]]="Completed",tbl_Tasks_Clean[[#This Row],[Delay_Days]]&gt;0),"Late","N/A"))</f>
        <v>On Time</v>
      </c>
      <c r="X135" s="29" t="str" cm="1">
        <f t="array" ref="X135">_xlfn.IFS(tbl_Tasks_Clean[[#This Row],[Planned_Duration_Days]]&lt;=7,"Short (&lt;=7 days)",tbl_Tasks_Clean[[#This Row],[Planned_Duration_Days]]&lt;=20,"Medium (8-20 days)",TRUE,"Long (&gt;20 days)")</f>
        <v>Long (&gt;20 days)</v>
      </c>
      <c r="Y135" s="29" t="str">
        <f>INDEX(Projects!$D:$D,MATCH(tbl_Tasks_Clean[[#This Row],[Project_ID]],Projects!$A:$A,0))</f>
        <v>Ahmed Nabil</v>
      </c>
      <c r="Z135" s="29" t="str">
        <f>IF(tbl_Tasks_Clean[[#This Row],[Delay_Days]]&gt;0,"Delayed by "&amp;TEXT(tbl_Tasks_Clean[[#This Row],[Delay_Days]],"0")&amp;" days",IF(tbl_Tasks_Clean[[#This Row],[Delay_Days]]&lt;0,"Early by "&amp;TEXT(-tbl_Tasks_Clean[[#This Row],[Delay_Days]],"0")&amp;" days","On schedule"))</f>
        <v>Early by 2 days</v>
      </c>
    </row>
    <row r="136" spans="1:26" x14ac:dyDescent="0.3">
      <c r="A136" t="s">
        <v>840</v>
      </c>
      <c r="B136" t="s">
        <v>140</v>
      </c>
      <c r="C136" t="s">
        <v>141</v>
      </c>
      <c r="D136" t="s">
        <v>235</v>
      </c>
      <c r="E136" t="s">
        <v>164</v>
      </c>
      <c r="F136" t="s">
        <v>176</v>
      </c>
      <c r="G136" t="s">
        <v>350</v>
      </c>
      <c r="H136" t="s">
        <v>314</v>
      </c>
      <c r="I136">
        <v>8000</v>
      </c>
      <c r="J136">
        <v>8590</v>
      </c>
      <c r="K136" s="22">
        <v>45515</v>
      </c>
      <c r="L136" s="22">
        <v>45522</v>
      </c>
      <c r="M136" s="22">
        <v>45524</v>
      </c>
      <c r="N136">
        <v>7</v>
      </c>
      <c r="O136">
        <v>2</v>
      </c>
      <c r="P136" t="s">
        <v>111</v>
      </c>
      <c r="Q136" t="s">
        <v>116</v>
      </c>
      <c r="R136">
        <v>75000</v>
      </c>
      <c r="S136" t="s">
        <v>177</v>
      </c>
      <c r="T136">
        <v>250</v>
      </c>
      <c r="U136" s="29">
        <f>tbl_Tasks_Clean[[#This Row],[Actual_Cost]]-tbl_Tasks_Clean[[#This Row],[Planned_Cost]]</f>
        <v>590</v>
      </c>
      <c r="V136" s="30">
        <f>IFERROR(tbl_Tasks_Clean[[#This Row],[Cost_Variance]]/tbl_Tasks_Clean[[#This Row],[Planned_Cost]],0)</f>
        <v>7.3749999999999996E-2</v>
      </c>
      <c r="W136" t="str">
        <f>IF(AND(tbl_Tasks_Clean[[#This Row],[Status]]="Completed",tbl_Tasks_Clean[[#This Row],[Delay_Days]]&lt;=0),"On Time",IF(AND(tbl_Tasks_Clean[[#This Row],[Status]]="Completed",tbl_Tasks_Clean[[#This Row],[Delay_Days]]&gt;0),"Late","N/A"))</f>
        <v>Late</v>
      </c>
      <c r="X136" s="29" t="str" cm="1">
        <f t="array" ref="X136">_xlfn.IFS(tbl_Tasks_Clean[[#This Row],[Planned_Duration_Days]]&lt;=7,"Short (&lt;=7 days)",tbl_Tasks_Clean[[#This Row],[Planned_Duration_Days]]&lt;=20,"Medium (8-20 days)",TRUE,"Long (&gt;20 days)")</f>
        <v>Short (&lt;=7 days)</v>
      </c>
      <c r="Y136" s="29" t="str">
        <f>INDEX(Projects!$D:$D,MATCH(tbl_Tasks_Clean[[#This Row],[Project_ID]],Projects!$A:$A,0))</f>
        <v>Nourhan Tarek</v>
      </c>
      <c r="Z136" s="29" t="str">
        <f>IF(tbl_Tasks_Clean[[#This Row],[Delay_Days]]&gt;0,"Delayed by "&amp;TEXT(tbl_Tasks_Clean[[#This Row],[Delay_Days]],"0")&amp;" days",IF(tbl_Tasks_Clean[[#This Row],[Delay_Days]]&lt;0,"Early by "&amp;TEXT(-tbl_Tasks_Clean[[#This Row],[Delay_Days]],"0")&amp;" days","On schedule"))</f>
        <v>Delayed by 2 days</v>
      </c>
    </row>
    <row r="137" spans="1:26" x14ac:dyDescent="0.3">
      <c r="A137" t="s">
        <v>844</v>
      </c>
      <c r="B137" t="s">
        <v>109</v>
      </c>
      <c r="C137" t="s">
        <v>110</v>
      </c>
      <c r="D137" t="s">
        <v>845</v>
      </c>
      <c r="E137" t="s">
        <v>164</v>
      </c>
      <c r="F137" t="s">
        <v>200</v>
      </c>
      <c r="G137" t="s">
        <v>281</v>
      </c>
      <c r="H137" t="s">
        <v>314</v>
      </c>
      <c r="I137">
        <v>5000</v>
      </c>
      <c r="J137">
        <v>6887</v>
      </c>
      <c r="K137" s="22">
        <v>45553</v>
      </c>
      <c r="L137" s="22">
        <v>45557</v>
      </c>
      <c r="M137" s="22">
        <v>45558</v>
      </c>
      <c r="N137">
        <v>4</v>
      </c>
      <c r="O137">
        <v>1</v>
      </c>
      <c r="P137" t="s">
        <v>111</v>
      </c>
      <c r="Q137" t="s">
        <v>99</v>
      </c>
      <c r="R137">
        <v>120000</v>
      </c>
      <c r="S137" t="s">
        <v>197</v>
      </c>
      <c r="T137">
        <v>150</v>
      </c>
      <c r="U137" s="29">
        <f>tbl_Tasks_Clean[[#This Row],[Actual_Cost]]-tbl_Tasks_Clean[[#This Row],[Planned_Cost]]</f>
        <v>1887</v>
      </c>
      <c r="V137" s="30">
        <f>IFERROR(tbl_Tasks_Clean[[#This Row],[Cost_Variance]]/tbl_Tasks_Clean[[#This Row],[Planned_Cost]],0)</f>
        <v>0.37740000000000001</v>
      </c>
      <c r="W137" t="str">
        <f>IF(AND(tbl_Tasks_Clean[[#This Row],[Status]]="Completed",tbl_Tasks_Clean[[#This Row],[Delay_Days]]&lt;=0),"On Time",IF(AND(tbl_Tasks_Clean[[#This Row],[Status]]="Completed",tbl_Tasks_Clean[[#This Row],[Delay_Days]]&gt;0),"Late","N/A"))</f>
        <v>Late</v>
      </c>
      <c r="X137" s="29" t="str" cm="1">
        <f t="array" ref="X137">_xlfn.IFS(tbl_Tasks_Clean[[#This Row],[Planned_Duration_Days]]&lt;=7,"Short (&lt;=7 days)",tbl_Tasks_Clean[[#This Row],[Planned_Duration_Days]]&lt;=20,"Medium (8-20 days)",TRUE,"Long (&gt;20 days)")</f>
        <v>Short (&lt;=7 days)</v>
      </c>
      <c r="Y137" s="29" t="str">
        <f>INDEX(Projects!$D:$D,MATCH(tbl_Tasks_Clean[[#This Row],[Project_ID]],Projects!$A:$A,0))</f>
        <v>Laila Samir</v>
      </c>
      <c r="Z137" s="29" t="str">
        <f>IF(tbl_Tasks_Clean[[#This Row],[Delay_Days]]&gt;0,"Delayed by "&amp;TEXT(tbl_Tasks_Clean[[#This Row],[Delay_Days]],"0")&amp;" days",IF(tbl_Tasks_Clean[[#This Row],[Delay_Days]]&lt;0,"Early by "&amp;TEXT(-tbl_Tasks_Clean[[#This Row],[Delay_Days]],"0")&amp;" days","On schedule"))</f>
        <v>Delayed by 1 days</v>
      </c>
    </row>
    <row r="138" spans="1:26" x14ac:dyDescent="0.3">
      <c r="A138" t="s">
        <v>849</v>
      </c>
      <c r="B138" t="s">
        <v>129</v>
      </c>
      <c r="C138" t="s">
        <v>130</v>
      </c>
      <c r="D138" t="s">
        <v>850</v>
      </c>
      <c r="E138" t="s">
        <v>206</v>
      </c>
      <c r="F138" t="s">
        <v>161</v>
      </c>
      <c r="G138" t="s">
        <v>350</v>
      </c>
      <c r="H138" t="s">
        <v>287</v>
      </c>
      <c r="I138">
        <v>10000</v>
      </c>
      <c r="J138">
        <v>6014</v>
      </c>
      <c r="K138" s="22">
        <v>45343</v>
      </c>
      <c r="L138" s="22">
        <v>45372</v>
      </c>
      <c r="M138" s="22"/>
      <c r="N138">
        <v>29</v>
      </c>
      <c r="O138">
        <v>0</v>
      </c>
      <c r="P138" t="s">
        <v>131</v>
      </c>
      <c r="Q138" t="s">
        <v>94</v>
      </c>
      <c r="R138">
        <v>250000</v>
      </c>
      <c r="S138" t="s">
        <v>150</v>
      </c>
      <c r="T138">
        <v>220</v>
      </c>
      <c r="U138" s="29">
        <f>tbl_Tasks_Clean[[#This Row],[Actual_Cost]]-tbl_Tasks_Clean[[#This Row],[Planned_Cost]]</f>
        <v>-3986</v>
      </c>
      <c r="V138" s="30">
        <f>IFERROR(tbl_Tasks_Clean[[#This Row],[Cost_Variance]]/tbl_Tasks_Clean[[#This Row],[Planned_Cost]],0)</f>
        <v>-0.39860000000000001</v>
      </c>
      <c r="W138" t="str">
        <f>IF(AND(tbl_Tasks_Clean[[#This Row],[Status]]="Completed",tbl_Tasks_Clean[[#This Row],[Delay_Days]]&lt;=0),"On Time",IF(AND(tbl_Tasks_Clean[[#This Row],[Status]]="Completed",tbl_Tasks_Clean[[#This Row],[Delay_Days]]&gt;0),"Late","N/A"))</f>
        <v>N/A</v>
      </c>
      <c r="X138" s="29" t="str" cm="1">
        <f t="array" ref="X138">_xlfn.IFS(tbl_Tasks_Clean[[#This Row],[Planned_Duration_Days]]&lt;=7,"Short (&lt;=7 days)",tbl_Tasks_Clean[[#This Row],[Planned_Duration_Days]]&lt;=20,"Medium (8-20 days)",TRUE,"Long (&gt;20 days)")</f>
        <v>Long (&gt;20 days)</v>
      </c>
      <c r="Y138" s="29" t="str">
        <f>INDEX(Projects!$D:$D,MATCH(tbl_Tasks_Clean[[#This Row],[Project_ID]],Projects!$A:$A,0))</f>
        <v>Ahmed Nabil</v>
      </c>
      <c r="Z138" s="29" t="str">
        <f>IF(tbl_Tasks_Clean[[#This Row],[Delay_Days]]&gt;0,"Delayed by "&amp;TEXT(tbl_Tasks_Clean[[#This Row],[Delay_Days]],"0")&amp;" days",IF(tbl_Tasks_Clean[[#This Row],[Delay_Days]]&lt;0,"Early by "&amp;TEXT(-tbl_Tasks_Clean[[#This Row],[Delay_Days]],"0")&amp;" days","On schedule"))</f>
        <v>On schedule</v>
      </c>
    </row>
    <row r="139" spans="1:26" x14ac:dyDescent="0.3">
      <c r="A139" t="s">
        <v>852</v>
      </c>
      <c r="B139" t="s">
        <v>129</v>
      </c>
      <c r="C139" t="s">
        <v>130</v>
      </c>
      <c r="D139" t="s">
        <v>522</v>
      </c>
      <c r="E139" t="s">
        <v>150</v>
      </c>
      <c r="F139" t="s">
        <v>176</v>
      </c>
      <c r="G139" t="s">
        <v>281</v>
      </c>
      <c r="H139" t="s">
        <v>269</v>
      </c>
      <c r="I139">
        <v>0</v>
      </c>
      <c r="J139">
        <v>1441</v>
      </c>
      <c r="K139" s="22"/>
      <c r="L139" s="22"/>
      <c r="M139" s="22"/>
      <c r="O139">
        <v>0</v>
      </c>
      <c r="P139" t="s">
        <v>131</v>
      </c>
      <c r="Q139" t="s">
        <v>94</v>
      </c>
      <c r="R139">
        <v>250000</v>
      </c>
      <c r="S139" t="s">
        <v>177</v>
      </c>
      <c r="T139">
        <v>250</v>
      </c>
      <c r="U139" s="29">
        <f>tbl_Tasks_Clean[[#This Row],[Actual_Cost]]-tbl_Tasks_Clean[[#This Row],[Planned_Cost]]</f>
        <v>1441</v>
      </c>
      <c r="V139" s="30">
        <f>IFERROR(tbl_Tasks_Clean[[#This Row],[Cost_Variance]]/tbl_Tasks_Clean[[#This Row],[Planned_Cost]],0)</f>
        <v>0</v>
      </c>
      <c r="W139" t="str">
        <f>IF(AND(tbl_Tasks_Clean[[#This Row],[Status]]="Completed",tbl_Tasks_Clean[[#This Row],[Delay_Days]]&lt;=0),"On Time",IF(AND(tbl_Tasks_Clean[[#This Row],[Status]]="Completed",tbl_Tasks_Clean[[#This Row],[Delay_Days]]&gt;0),"Late","N/A"))</f>
        <v>N/A</v>
      </c>
      <c r="X139" s="29" t="str" cm="1">
        <f t="array" ref="X139">_xlfn.IFS(tbl_Tasks_Clean[[#This Row],[Planned_Duration_Days]]&lt;=7,"Short (&lt;=7 days)",tbl_Tasks_Clean[[#This Row],[Planned_Duration_Days]]&lt;=20,"Medium (8-20 days)",TRUE,"Long (&gt;20 days)")</f>
        <v>Short (&lt;=7 days)</v>
      </c>
      <c r="Y139" s="29" t="str">
        <f>INDEX(Projects!$D:$D,MATCH(tbl_Tasks_Clean[[#This Row],[Project_ID]],Projects!$A:$A,0))</f>
        <v>Ahmed Nabil</v>
      </c>
      <c r="Z139" s="29" t="str">
        <f>IF(tbl_Tasks_Clean[[#This Row],[Delay_Days]]&gt;0,"Delayed by "&amp;TEXT(tbl_Tasks_Clean[[#This Row],[Delay_Days]],"0")&amp;" days",IF(tbl_Tasks_Clean[[#This Row],[Delay_Days]]&lt;0,"Early by "&amp;TEXT(-tbl_Tasks_Clean[[#This Row],[Delay_Days]],"0")&amp;" days","On schedule"))</f>
        <v>On schedule</v>
      </c>
    </row>
    <row r="140" spans="1:26" x14ac:dyDescent="0.3">
      <c r="A140" t="s">
        <v>856</v>
      </c>
      <c r="B140" t="s">
        <v>105</v>
      </c>
      <c r="C140" t="s">
        <v>106</v>
      </c>
      <c r="D140" t="s">
        <v>857</v>
      </c>
      <c r="E140" t="s">
        <v>187</v>
      </c>
      <c r="F140" t="s">
        <v>180</v>
      </c>
      <c r="G140" t="s">
        <v>281</v>
      </c>
      <c r="H140" t="s">
        <v>314</v>
      </c>
      <c r="I140">
        <v>4000</v>
      </c>
      <c r="J140">
        <v>4856</v>
      </c>
      <c r="K140" s="22">
        <v>45383</v>
      </c>
      <c r="L140" s="22">
        <v>45396</v>
      </c>
      <c r="M140" s="22">
        <v>45398</v>
      </c>
      <c r="N140">
        <v>13</v>
      </c>
      <c r="O140">
        <v>2</v>
      </c>
      <c r="P140" t="s">
        <v>107</v>
      </c>
      <c r="Q140" t="s">
        <v>84</v>
      </c>
      <c r="R140">
        <v>120000</v>
      </c>
      <c r="S140" t="s">
        <v>177</v>
      </c>
      <c r="T140">
        <v>280</v>
      </c>
      <c r="U140" s="29">
        <f>tbl_Tasks_Clean[[#This Row],[Actual_Cost]]-tbl_Tasks_Clean[[#This Row],[Planned_Cost]]</f>
        <v>856</v>
      </c>
      <c r="V140" s="30">
        <f>IFERROR(tbl_Tasks_Clean[[#This Row],[Cost_Variance]]/tbl_Tasks_Clean[[#This Row],[Planned_Cost]],0)</f>
        <v>0.214</v>
      </c>
      <c r="W140" t="str">
        <f>IF(AND(tbl_Tasks_Clean[[#This Row],[Status]]="Completed",tbl_Tasks_Clean[[#This Row],[Delay_Days]]&lt;=0),"On Time",IF(AND(tbl_Tasks_Clean[[#This Row],[Status]]="Completed",tbl_Tasks_Clean[[#This Row],[Delay_Days]]&gt;0),"Late","N/A"))</f>
        <v>Late</v>
      </c>
      <c r="X140" s="29" t="str" cm="1">
        <f t="array" ref="X140">_xlfn.IFS(tbl_Tasks_Clean[[#This Row],[Planned_Duration_Days]]&lt;=7,"Short (&lt;=7 days)",tbl_Tasks_Clean[[#This Row],[Planned_Duration_Days]]&lt;=20,"Medium (8-20 days)",TRUE,"Long (&gt;20 days)")</f>
        <v>Medium (8-20 days)</v>
      </c>
      <c r="Y140" s="29" t="str">
        <f>INDEX(Projects!$D:$D,MATCH(tbl_Tasks_Clean[[#This Row],[Project_ID]],Projects!$A:$A,0))</f>
        <v>Mona Farid</v>
      </c>
      <c r="Z140" s="29" t="str">
        <f>IF(tbl_Tasks_Clean[[#This Row],[Delay_Days]]&gt;0,"Delayed by "&amp;TEXT(tbl_Tasks_Clean[[#This Row],[Delay_Days]],"0")&amp;" days",IF(tbl_Tasks_Clean[[#This Row],[Delay_Days]]&lt;0,"Early by "&amp;TEXT(-tbl_Tasks_Clean[[#This Row],[Delay_Days]],"0")&amp;" days","On schedule"))</f>
        <v>Delayed by 2 days</v>
      </c>
    </row>
    <row r="141" spans="1:26" x14ac:dyDescent="0.3">
      <c r="A141" t="s">
        <v>861</v>
      </c>
      <c r="B141" t="s">
        <v>101</v>
      </c>
      <c r="C141" t="s">
        <v>102</v>
      </c>
      <c r="D141" t="s">
        <v>862</v>
      </c>
      <c r="E141" t="s">
        <v>187</v>
      </c>
      <c r="F141" t="s">
        <v>155</v>
      </c>
      <c r="G141" t="s">
        <v>281</v>
      </c>
      <c r="H141" t="s">
        <v>319</v>
      </c>
      <c r="I141">
        <v>10000</v>
      </c>
      <c r="J141">
        <v>7305</v>
      </c>
      <c r="K141" s="22">
        <v>45441</v>
      </c>
      <c r="L141" s="22">
        <v>45448</v>
      </c>
      <c r="M141" s="22"/>
      <c r="N141">
        <v>7</v>
      </c>
      <c r="O141">
        <v>0</v>
      </c>
      <c r="P141" t="s">
        <v>103</v>
      </c>
      <c r="Q141" t="s">
        <v>94</v>
      </c>
      <c r="R141">
        <v>50000</v>
      </c>
      <c r="S141" t="s">
        <v>150</v>
      </c>
      <c r="T141">
        <v>280</v>
      </c>
      <c r="U141" s="29">
        <f>tbl_Tasks_Clean[[#This Row],[Actual_Cost]]-tbl_Tasks_Clean[[#This Row],[Planned_Cost]]</f>
        <v>-2695</v>
      </c>
      <c r="V141" s="30">
        <f>IFERROR(tbl_Tasks_Clean[[#This Row],[Cost_Variance]]/tbl_Tasks_Clean[[#This Row],[Planned_Cost]],0)</f>
        <v>-0.26950000000000002</v>
      </c>
      <c r="W141" t="str">
        <f>IF(AND(tbl_Tasks_Clean[[#This Row],[Status]]="Completed",tbl_Tasks_Clean[[#This Row],[Delay_Days]]&lt;=0),"On Time",IF(AND(tbl_Tasks_Clean[[#This Row],[Status]]="Completed",tbl_Tasks_Clean[[#This Row],[Delay_Days]]&gt;0),"Late","N/A"))</f>
        <v>N/A</v>
      </c>
      <c r="X141" s="29" t="str" cm="1">
        <f t="array" ref="X141">_xlfn.IFS(tbl_Tasks_Clean[[#This Row],[Planned_Duration_Days]]&lt;=7,"Short (&lt;=7 days)",tbl_Tasks_Clean[[#This Row],[Planned_Duration_Days]]&lt;=20,"Medium (8-20 days)",TRUE,"Long (&gt;20 days)")</f>
        <v>Short (&lt;=7 days)</v>
      </c>
      <c r="Y141" s="29" t="str">
        <f>INDEX(Projects!$D:$D,MATCH(tbl_Tasks_Clean[[#This Row],[Project_ID]],Projects!$A:$A,0))</f>
        <v>Ahmed Nabil</v>
      </c>
      <c r="Z141" s="29" t="str">
        <f>IF(tbl_Tasks_Clean[[#This Row],[Delay_Days]]&gt;0,"Delayed by "&amp;TEXT(tbl_Tasks_Clean[[#This Row],[Delay_Days]],"0")&amp;" days",IF(tbl_Tasks_Clean[[#This Row],[Delay_Days]]&lt;0,"Early by "&amp;TEXT(-tbl_Tasks_Clean[[#This Row],[Delay_Days]],"0")&amp;" days","On schedule"))</f>
        <v>On schedule</v>
      </c>
    </row>
    <row r="142" spans="1:26" x14ac:dyDescent="0.3">
      <c r="A142" t="s">
        <v>864</v>
      </c>
      <c r="B142" t="s">
        <v>136</v>
      </c>
      <c r="C142" t="s">
        <v>137</v>
      </c>
      <c r="D142" t="s">
        <v>865</v>
      </c>
      <c r="E142" t="s">
        <v>164</v>
      </c>
      <c r="F142" t="s">
        <v>183</v>
      </c>
      <c r="G142" t="s">
        <v>250</v>
      </c>
      <c r="H142" t="s">
        <v>314</v>
      </c>
      <c r="I142">
        <v>2000</v>
      </c>
      <c r="J142">
        <v>2123</v>
      </c>
      <c r="K142" s="22">
        <v>45317</v>
      </c>
      <c r="L142" s="22">
        <v>45325</v>
      </c>
      <c r="M142" s="22">
        <v>45324</v>
      </c>
      <c r="N142">
        <v>8</v>
      </c>
      <c r="O142">
        <v>-1</v>
      </c>
      <c r="P142" t="s">
        <v>138</v>
      </c>
      <c r="Q142" t="s">
        <v>94</v>
      </c>
      <c r="R142">
        <v>300000</v>
      </c>
      <c r="S142" t="s">
        <v>177</v>
      </c>
      <c r="T142">
        <v>220</v>
      </c>
      <c r="U142" s="29">
        <f>tbl_Tasks_Clean[[#This Row],[Actual_Cost]]-tbl_Tasks_Clean[[#This Row],[Planned_Cost]]</f>
        <v>123</v>
      </c>
      <c r="V142" s="30">
        <f>IFERROR(tbl_Tasks_Clean[[#This Row],[Cost_Variance]]/tbl_Tasks_Clean[[#This Row],[Planned_Cost]],0)</f>
        <v>6.1499999999999999E-2</v>
      </c>
      <c r="W142" t="str">
        <f>IF(AND(tbl_Tasks_Clean[[#This Row],[Status]]="Completed",tbl_Tasks_Clean[[#This Row],[Delay_Days]]&lt;=0),"On Time",IF(AND(tbl_Tasks_Clean[[#This Row],[Status]]="Completed",tbl_Tasks_Clean[[#This Row],[Delay_Days]]&gt;0),"Late","N/A"))</f>
        <v>On Time</v>
      </c>
      <c r="X142" s="29" t="str" cm="1">
        <f t="array" ref="X142">_xlfn.IFS(tbl_Tasks_Clean[[#This Row],[Planned_Duration_Days]]&lt;=7,"Short (&lt;=7 days)",tbl_Tasks_Clean[[#This Row],[Planned_Duration_Days]]&lt;=20,"Medium (8-20 days)",TRUE,"Long (&gt;20 days)")</f>
        <v>Medium (8-20 days)</v>
      </c>
      <c r="Y142" s="29" t="str">
        <f>INDEX(Projects!$D:$D,MATCH(tbl_Tasks_Clean[[#This Row],[Project_ID]],Projects!$A:$A,0))</f>
        <v>Ahmed Nabil</v>
      </c>
      <c r="Z142" s="29" t="str">
        <f>IF(tbl_Tasks_Clean[[#This Row],[Delay_Days]]&gt;0,"Delayed by "&amp;TEXT(tbl_Tasks_Clean[[#This Row],[Delay_Days]],"0")&amp;" days",IF(tbl_Tasks_Clean[[#This Row],[Delay_Days]]&lt;0,"Early by "&amp;TEXT(-tbl_Tasks_Clean[[#This Row],[Delay_Days]],"0")&amp;" days","On schedule"))</f>
        <v>Early by 1 days</v>
      </c>
    </row>
    <row r="143" spans="1:26" x14ac:dyDescent="0.3">
      <c r="A143" t="s">
        <v>868</v>
      </c>
      <c r="B143" t="s">
        <v>96</v>
      </c>
      <c r="C143" t="s">
        <v>97</v>
      </c>
      <c r="D143" t="s">
        <v>869</v>
      </c>
      <c r="E143" t="s">
        <v>150</v>
      </c>
      <c r="F143" t="s">
        <v>153</v>
      </c>
      <c r="G143" t="s">
        <v>250</v>
      </c>
      <c r="H143" t="s">
        <v>276</v>
      </c>
      <c r="I143">
        <v>2000</v>
      </c>
      <c r="J143">
        <v>0</v>
      </c>
      <c r="K143" s="22"/>
      <c r="L143" s="22"/>
      <c r="M143" s="22"/>
      <c r="O143">
        <v>0</v>
      </c>
      <c r="P143" t="s">
        <v>98</v>
      </c>
      <c r="Q143" t="s">
        <v>99</v>
      </c>
      <c r="R143">
        <v>75000</v>
      </c>
      <c r="S143" t="s">
        <v>150</v>
      </c>
      <c r="T143">
        <v>220</v>
      </c>
      <c r="U143" s="29">
        <f>tbl_Tasks_Clean[[#This Row],[Actual_Cost]]-tbl_Tasks_Clean[[#This Row],[Planned_Cost]]</f>
        <v>-2000</v>
      </c>
      <c r="V143" s="30">
        <f>IFERROR(tbl_Tasks_Clean[[#This Row],[Cost_Variance]]/tbl_Tasks_Clean[[#This Row],[Planned_Cost]],0)</f>
        <v>-1</v>
      </c>
      <c r="W143" t="str">
        <f>IF(AND(tbl_Tasks_Clean[[#This Row],[Status]]="Completed",tbl_Tasks_Clean[[#This Row],[Delay_Days]]&lt;=0),"On Time",IF(AND(tbl_Tasks_Clean[[#This Row],[Status]]="Completed",tbl_Tasks_Clean[[#This Row],[Delay_Days]]&gt;0),"Late","N/A"))</f>
        <v>N/A</v>
      </c>
      <c r="X143" s="29" t="str" cm="1">
        <f t="array" ref="X143">_xlfn.IFS(tbl_Tasks_Clean[[#This Row],[Planned_Duration_Days]]&lt;=7,"Short (&lt;=7 days)",tbl_Tasks_Clean[[#This Row],[Planned_Duration_Days]]&lt;=20,"Medium (8-20 days)",TRUE,"Long (&gt;20 days)")</f>
        <v>Short (&lt;=7 days)</v>
      </c>
      <c r="Y143" s="29" t="str">
        <f>INDEX(Projects!$D:$D,MATCH(tbl_Tasks_Clean[[#This Row],[Project_ID]],Projects!$A:$A,0))</f>
        <v>Laila Samir</v>
      </c>
      <c r="Z143" s="29" t="str">
        <f>IF(tbl_Tasks_Clean[[#This Row],[Delay_Days]]&gt;0,"Delayed by "&amp;TEXT(tbl_Tasks_Clean[[#This Row],[Delay_Days]],"0")&amp;" days",IF(tbl_Tasks_Clean[[#This Row],[Delay_Days]]&lt;0,"Early by "&amp;TEXT(-tbl_Tasks_Clean[[#This Row],[Delay_Days]],"0")&amp;" days","On schedule"))</f>
        <v>On schedule</v>
      </c>
    </row>
    <row r="144" spans="1:26" x14ac:dyDescent="0.3">
      <c r="A144" t="s">
        <v>872</v>
      </c>
      <c r="B144" t="s">
        <v>122</v>
      </c>
      <c r="C144" t="s">
        <v>123</v>
      </c>
      <c r="D144" t="s">
        <v>873</v>
      </c>
      <c r="E144" t="s">
        <v>206</v>
      </c>
      <c r="F144" t="s">
        <v>169</v>
      </c>
      <c r="G144" t="s">
        <v>250</v>
      </c>
      <c r="H144" t="s">
        <v>287</v>
      </c>
      <c r="I144">
        <v>8000</v>
      </c>
      <c r="J144">
        <v>5250</v>
      </c>
      <c r="K144" s="22"/>
      <c r="L144" s="22"/>
      <c r="M144" s="22"/>
      <c r="O144">
        <v>0</v>
      </c>
      <c r="P144" t="s">
        <v>111</v>
      </c>
      <c r="Q144" t="s">
        <v>124</v>
      </c>
      <c r="R144">
        <v>150000</v>
      </c>
      <c r="S144" t="s">
        <v>164</v>
      </c>
      <c r="T144">
        <v>200</v>
      </c>
      <c r="U144" s="29">
        <f>tbl_Tasks_Clean[[#This Row],[Actual_Cost]]-tbl_Tasks_Clean[[#This Row],[Planned_Cost]]</f>
        <v>-2750</v>
      </c>
      <c r="V144" s="30">
        <f>IFERROR(tbl_Tasks_Clean[[#This Row],[Cost_Variance]]/tbl_Tasks_Clean[[#This Row],[Planned_Cost]],0)</f>
        <v>-0.34375</v>
      </c>
      <c r="W144" t="str">
        <f>IF(AND(tbl_Tasks_Clean[[#This Row],[Status]]="Completed",tbl_Tasks_Clean[[#This Row],[Delay_Days]]&lt;=0),"On Time",IF(AND(tbl_Tasks_Clean[[#This Row],[Status]]="Completed",tbl_Tasks_Clean[[#This Row],[Delay_Days]]&gt;0),"Late","N/A"))</f>
        <v>N/A</v>
      </c>
      <c r="X144" s="29" t="str" cm="1">
        <f t="array" ref="X144">_xlfn.IFS(tbl_Tasks_Clean[[#This Row],[Planned_Duration_Days]]&lt;=7,"Short (&lt;=7 days)",tbl_Tasks_Clean[[#This Row],[Planned_Duration_Days]]&lt;=20,"Medium (8-20 days)",TRUE,"Long (&gt;20 days)")</f>
        <v>Short (&lt;=7 days)</v>
      </c>
      <c r="Y144" s="29" t="str">
        <f>INDEX(Projects!$D:$D,MATCH(tbl_Tasks_Clean[[#This Row],[Project_ID]],Projects!$A:$A,0))</f>
        <v>Sara Hassan</v>
      </c>
      <c r="Z144" s="29" t="str">
        <f>IF(tbl_Tasks_Clean[[#This Row],[Delay_Days]]&gt;0,"Delayed by "&amp;TEXT(tbl_Tasks_Clean[[#This Row],[Delay_Days]],"0")&amp;" days",IF(tbl_Tasks_Clean[[#This Row],[Delay_Days]]&lt;0,"Early by "&amp;TEXT(-tbl_Tasks_Clean[[#This Row],[Delay_Days]],"0")&amp;" days","On schedule"))</f>
        <v>On schedule</v>
      </c>
    </row>
    <row r="145" spans="1:26" x14ac:dyDescent="0.3">
      <c r="A145" t="s">
        <v>877</v>
      </c>
      <c r="B145" t="s">
        <v>140</v>
      </c>
      <c r="C145" t="s">
        <v>141</v>
      </c>
      <c r="D145" t="s">
        <v>873</v>
      </c>
      <c r="E145" t="s">
        <v>150</v>
      </c>
      <c r="F145" t="s">
        <v>193</v>
      </c>
      <c r="G145" t="s">
        <v>281</v>
      </c>
      <c r="H145" t="s">
        <v>314</v>
      </c>
      <c r="I145">
        <v>6000</v>
      </c>
      <c r="J145">
        <v>8177</v>
      </c>
      <c r="K145" s="22">
        <v>45508</v>
      </c>
      <c r="L145" s="22">
        <v>45528</v>
      </c>
      <c r="M145" s="22">
        <v>45525</v>
      </c>
      <c r="N145">
        <v>20</v>
      </c>
      <c r="O145">
        <v>-3</v>
      </c>
      <c r="P145" t="s">
        <v>111</v>
      </c>
      <c r="Q145" t="s">
        <v>116</v>
      </c>
      <c r="R145">
        <v>75000</v>
      </c>
      <c r="S145" t="s">
        <v>187</v>
      </c>
      <c r="T145">
        <v>300</v>
      </c>
      <c r="U145" s="29">
        <f>tbl_Tasks_Clean[[#This Row],[Actual_Cost]]-tbl_Tasks_Clean[[#This Row],[Planned_Cost]]</f>
        <v>2177</v>
      </c>
      <c r="V145" s="30">
        <f>IFERROR(tbl_Tasks_Clean[[#This Row],[Cost_Variance]]/tbl_Tasks_Clean[[#This Row],[Planned_Cost]],0)</f>
        <v>0.36283333333333334</v>
      </c>
      <c r="W145" t="str">
        <f>IF(AND(tbl_Tasks_Clean[[#This Row],[Status]]="Completed",tbl_Tasks_Clean[[#This Row],[Delay_Days]]&lt;=0),"On Time",IF(AND(tbl_Tasks_Clean[[#This Row],[Status]]="Completed",tbl_Tasks_Clean[[#This Row],[Delay_Days]]&gt;0),"Late","N/A"))</f>
        <v>On Time</v>
      </c>
      <c r="X145" s="29" t="str" cm="1">
        <f t="array" ref="X145">_xlfn.IFS(tbl_Tasks_Clean[[#This Row],[Planned_Duration_Days]]&lt;=7,"Short (&lt;=7 days)",tbl_Tasks_Clean[[#This Row],[Planned_Duration_Days]]&lt;=20,"Medium (8-20 days)",TRUE,"Long (&gt;20 days)")</f>
        <v>Medium (8-20 days)</v>
      </c>
      <c r="Y145" s="29" t="str">
        <f>INDEX(Projects!$D:$D,MATCH(tbl_Tasks_Clean[[#This Row],[Project_ID]],Projects!$A:$A,0))</f>
        <v>Nourhan Tarek</v>
      </c>
      <c r="Z145" s="29" t="str">
        <f>IF(tbl_Tasks_Clean[[#This Row],[Delay_Days]]&gt;0,"Delayed by "&amp;TEXT(tbl_Tasks_Clean[[#This Row],[Delay_Days]],"0")&amp;" days",IF(tbl_Tasks_Clean[[#This Row],[Delay_Days]]&lt;0,"Early by "&amp;TEXT(-tbl_Tasks_Clean[[#This Row],[Delay_Days]],"0")&amp;" days","On schedule"))</f>
        <v>Early by 3 days</v>
      </c>
    </row>
    <row r="146" spans="1:26" x14ac:dyDescent="0.3">
      <c r="A146" t="s">
        <v>881</v>
      </c>
      <c r="B146" t="s">
        <v>101</v>
      </c>
      <c r="C146" t="s">
        <v>102</v>
      </c>
      <c r="D146" t="s">
        <v>882</v>
      </c>
      <c r="E146" t="s">
        <v>1435</v>
      </c>
      <c r="F146" t="s">
        <v>169</v>
      </c>
      <c r="G146" t="s">
        <v>281</v>
      </c>
      <c r="H146" t="s">
        <v>287</v>
      </c>
      <c r="I146">
        <v>5000</v>
      </c>
      <c r="J146">
        <v>1275</v>
      </c>
      <c r="K146" s="22">
        <v>45431</v>
      </c>
      <c r="L146" s="22">
        <v>45438</v>
      </c>
      <c r="M146" s="22"/>
      <c r="N146">
        <v>7</v>
      </c>
      <c r="O146">
        <v>0</v>
      </c>
      <c r="P146" t="s">
        <v>103</v>
      </c>
      <c r="Q146" t="s">
        <v>94</v>
      </c>
      <c r="R146">
        <v>50000</v>
      </c>
      <c r="S146" t="s">
        <v>164</v>
      </c>
      <c r="T146">
        <v>200</v>
      </c>
      <c r="U146" s="29">
        <f>tbl_Tasks_Clean[[#This Row],[Actual_Cost]]-tbl_Tasks_Clean[[#This Row],[Planned_Cost]]</f>
        <v>-3725</v>
      </c>
      <c r="V146" s="30">
        <f>IFERROR(tbl_Tasks_Clean[[#This Row],[Cost_Variance]]/tbl_Tasks_Clean[[#This Row],[Planned_Cost]],0)</f>
        <v>-0.745</v>
      </c>
      <c r="W146" t="str">
        <f>IF(AND(tbl_Tasks_Clean[[#This Row],[Status]]="Completed",tbl_Tasks_Clean[[#This Row],[Delay_Days]]&lt;=0),"On Time",IF(AND(tbl_Tasks_Clean[[#This Row],[Status]]="Completed",tbl_Tasks_Clean[[#This Row],[Delay_Days]]&gt;0),"Late","N/A"))</f>
        <v>N/A</v>
      </c>
      <c r="X146" s="29" t="str" cm="1">
        <f t="array" ref="X146">_xlfn.IFS(tbl_Tasks_Clean[[#This Row],[Planned_Duration_Days]]&lt;=7,"Short (&lt;=7 days)",tbl_Tasks_Clean[[#This Row],[Planned_Duration_Days]]&lt;=20,"Medium (8-20 days)",TRUE,"Long (&gt;20 days)")</f>
        <v>Short (&lt;=7 days)</v>
      </c>
      <c r="Y146" s="29" t="str">
        <f>INDEX(Projects!$D:$D,MATCH(tbl_Tasks_Clean[[#This Row],[Project_ID]],Projects!$A:$A,0))</f>
        <v>Ahmed Nabil</v>
      </c>
      <c r="Z146" s="29" t="str">
        <f>IF(tbl_Tasks_Clean[[#This Row],[Delay_Days]]&gt;0,"Delayed by "&amp;TEXT(tbl_Tasks_Clean[[#This Row],[Delay_Days]],"0")&amp;" days",IF(tbl_Tasks_Clean[[#This Row],[Delay_Days]]&lt;0,"Early by "&amp;TEXT(-tbl_Tasks_Clean[[#This Row],[Delay_Days]],"0")&amp;" days","On schedule"))</f>
        <v>On schedule</v>
      </c>
    </row>
    <row r="147" spans="1:26" x14ac:dyDescent="0.3">
      <c r="A147" t="s">
        <v>884</v>
      </c>
      <c r="B147" t="s">
        <v>105</v>
      </c>
      <c r="C147" t="s">
        <v>106</v>
      </c>
      <c r="D147" t="s">
        <v>885</v>
      </c>
      <c r="E147" t="s">
        <v>164</v>
      </c>
      <c r="F147" t="s">
        <v>158</v>
      </c>
      <c r="G147" t="s">
        <v>281</v>
      </c>
      <c r="H147" t="s">
        <v>287</v>
      </c>
      <c r="I147">
        <v>8000</v>
      </c>
      <c r="J147">
        <v>1639</v>
      </c>
      <c r="K147" s="22">
        <v>45467</v>
      </c>
      <c r="L147" s="22">
        <v>45479</v>
      </c>
      <c r="M147" s="22"/>
      <c r="N147">
        <v>12</v>
      </c>
      <c r="O147">
        <v>0</v>
      </c>
      <c r="P147" t="s">
        <v>107</v>
      </c>
      <c r="Q147" t="s">
        <v>84</v>
      </c>
      <c r="R147">
        <v>120000</v>
      </c>
      <c r="S147" t="s">
        <v>150</v>
      </c>
      <c r="T147">
        <v>180</v>
      </c>
      <c r="U147" s="29">
        <f>tbl_Tasks_Clean[[#This Row],[Actual_Cost]]-tbl_Tasks_Clean[[#This Row],[Planned_Cost]]</f>
        <v>-6361</v>
      </c>
      <c r="V147" s="30">
        <f>IFERROR(tbl_Tasks_Clean[[#This Row],[Cost_Variance]]/tbl_Tasks_Clean[[#This Row],[Planned_Cost]],0)</f>
        <v>-0.79512499999999997</v>
      </c>
      <c r="W147" t="str">
        <f>IF(AND(tbl_Tasks_Clean[[#This Row],[Status]]="Completed",tbl_Tasks_Clean[[#This Row],[Delay_Days]]&lt;=0),"On Time",IF(AND(tbl_Tasks_Clean[[#This Row],[Status]]="Completed",tbl_Tasks_Clean[[#This Row],[Delay_Days]]&gt;0),"Late","N/A"))</f>
        <v>N/A</v>
      </c>
      <c r="X147" s="29" t="str" cm="1">
        <f t="array" ref="X147">_xlfn.IFS(tbl_Tasks_Clean[[#This Row],[Planned_Duration_Days]]&lt;=7,"Short (&lt;=7 days)",tbl_Tasks_Clean[[#This Row],[Planned_Duration_Days]]&lt;=20,"Medium (8-20 days)",TRUE,"Long (&gt;20 days)")</f>
        <v>Medium (8-20 days)</v>
      </c>
      <c r="Y147" s="29" t="str">
        <f>INDEX(Projects!$D:$D,MATCH(tbl_Tasks_Clean[[#This Row],[Project_ID]],Projects!$A:$A,0))</f>
        <v>Mona Farid</v>
      </c>
      <c r="Z147" s="29" t="str">
        <f>IF(tbl_Tasks_Clean[[#This Row],[Delay_Days]]&gt;0,"Delayed by "&amp;TEXT(tbl_Tasks_Clean[[#This Row],[Delay_Days]],"0")&amp;" days",IF(tbl_Tasks_Clean[[#This Row],[Delay_Days]]&lt;0,"Early by "&amp;TEXT(-tbl_Tasks_Clean[[#This Row],[Delay_Days]],"0")&amp;" days","On schedule"))</f>
        <v>On schedule</v>
      </c>
    </row>
    <row r="148" spans="1:26" x14ac:dyDescent="0.3">
      <c r="A148" t="s">
        <v>888</v>
      </c>
      <c r="B148" t="s">
        <v>126</v>
      </c>
      <c r="C148" t="s">
        <v>127</v>
      </c>
      <c r="D148" t="s">
        <v>889</v>
      </c>
      <c r="E148" t="s">
        <v>187</v>
      </c>
      <c r="F148" t="s">
        <v>214</v>
      </c>
      <c r="G148" t="s">
        <v>250</v>
      </c>
      <c r="H148" t="s">
        <v>269</v>
      </c>
      <c r="I148">
        <v>5000</v>
      </c>
      <c r="J148">
        <v>6660</v>
      </c>
      <c r="K148" s="22">
        <v>45468</v>
      </c>
      <c r="L148" s="22">
        <v>45480</v>
      </c>
      <c r="M148" s="22">
        <v>45479</v>
      </c>
      <c r="N148">
        <v>12</v>
      </c>
      <c r="O148">
        <v>-1</v>
      </c>
      <c r="P148" t="s">
        <v>128</v>
      </c>
      <c r="Q148" t="s">
        <v>94</v>
      </c>
      <c r="R148">
        <v>200000</v>
      </c>
      <c r="S148" t="s">
        <v>206</v>
      </c>
      <c r="T148">
        <v>180</v>
      </c>
      <c r="U148" s="29">
        <f>tbl_Tasks_Clean[[#This Row],[Actual_Cost]]-tbl_Tasks_Clean[[#This Row],[Planned_Cost]]</f>
        <v>1660</v>
      </c>
      <c r="V148" s="30">
        <f>IFERROR(tbl_Tasks_Clean[[#This Row],[Cost_Variance]]/tbl_Tasks_Clean[[#This Row],[Planned_Cost]],0)</f>
        <v>0.33200000000000002</v>
      </c>
      <c r="W148" t="str">
        <f>IF(AND(tbl_Tasks_Clean[[#This Row],[Status]]="Completed",tbl_Tasks_Clean[[#This Row],[Delay_Days]]&lt;=0),"On Time",IF(AND(tbl_Tasks_Clean[[#This Row],[Status]]="Completed",tbl_Tasks_Clean[[#This Row],[Delay_Days]]&gt;0),"Late","N/A"))</f>
        <v>N/A</v>
      </c>
      <c r="X148" s="29" t="str" cm="1">
        <f t="array" ref="X148">_xlfn.IFS(tbl_Tasks_Clean[[#This Row],[Planned_Duration_Days]]&lt;=7,"Short (&lt;=7 days)",tbl_Tasks_Clean[[#This Row],[Planned_Duration_Days]]&lt;=20,"Medium (8-20 days)",TRUE,"Long (&gt;20 days)")</f>
        <v>Medium (8-20 days)</v>
      </c>
      <c r="Y148" s="29" t="str">
        <f>INDEX(Projects!$D:$D,MATCH(tbl_Tasks_Clean[[#This Row],[Project_ID]],Projects!$A:$A,0))</f>
        <v>Ahmed Nabil</v>
      </c>
      <c r="Z148" s="29" t="str">
        <f>IF(tbl_Tasks_Clean[[#This Row],[Delay_Days]]&gt;0,"Delayed by "&amp;TEXT(tbl_Tasks_Clean[[#This Row],[Delay_Days]],"0")&amp;" days",IF(tbl_Tasks_Clean[[#This Row],[Delay_Days]]&lt;0,"Early by "&amp;TEXT(-tbl_Tasks_Clean[[#This Row],[Delay_Days]],"0")&amp;" days","On schedule"))</f>
        <v>Early by 1 days</v>
      </c>
    </row>
    <row r="149" spans="1:26" x14ac:dyDescent="0.3">
      <c r="A149" t="s">
        <v>893</v>
      </c>
      <c r="B149" t="s">
        <v>86</v>
      </c>
      <c r="C149" t="s">
        <v>87</v>
      </c>
      <c r="D149" t="s">
        <v>385</v>
      </c>
      <c r="E149" t="s">
        <v>206</v>
      </c>
      <c r="F149" t="s">
        <v>200</v>
      </c>
      <c r="G149" t="s">
        <v>250</v>
      </c>
      <c r="H149" t="s">
        <v>269</v>
      </c>
      <c r="I149">
        <v>2000</v>
      </c>
      <c r="J149">
        <v>1736</v>
      </c>
      <c r="K149" s="22">
        <v>45548</v>
      </c>
      <c r="L149" s="22">
        <v>45572</v>
      </c>
      <c r="M149" s="22">
        <v>45571</v>
      </c>
      <c r="N149">
        <v>24</v>
      </c>
      <c r="O149">
        <v>-1</v>
      </c>
      <c r="P149" t="s">
        <v>88</v>
      </c>
      <c r="Q149" t="s">
        <v>89</v>
      </c>
      <c r="R149">
        <v>150000</v>
      </c>
      <c r="S149" t="s">
        <v>197</v>
      </c>
      <c r="T149">
        <v>150</v>
      </c>
      <c r="U149" s="29">
        <f>tbl_Tasks_Clean[[#This Row],[Actual_Cost]]-tbl_Tasks_Clean[[#This Row],[Planned_Cost]]</f>
        <v>-264</v>
      </c>
      <c r="V149" s="30">
        <f>IFERROR(tbl_Tasks_Clean[[#This Row],[Cost_Variance]]/tbl_Tasks_Clean[[#This Row],[Planned_Cost]],0)</f>
        <v>-0.13200000000000001</v>
      </c>
      <c r="W149" t="str">
        <f>IF(AND(tbl_Tasks_Clean[[#This Row],[Status]]="Completed",tbl_Tasks_Clean[[#This Row],[Delay_Days]]&lt;=0),"On Time",IF(AND(tbl_Tasks_Clean[[#This Row],[Status]]="Completed",tbl_Tasks_Clean[[#This Row],[Delay_Days]]&gt;0),"Late","N/A"))</f>
        <v>N/A</v>
      </c>
      <c r="X149" s="29" t="str" cm="1">
        <f t="array" ref="X149">_xlfn.IFS(tbl_Tasks_Clean[[#This Row],[Planned_Duration_Days]]&lt;=7,"Short (&lt;=7 days)",tbl_Tasks_Clean[[#This Row],[Planned_Duration_Days]]&lt;=20,"Medium (8-20 days)",TRUE,"Long (&gt;20 days)")</f>
        <v>Long (&gt;20 days)</v>
      </c>
      <c r="Y149" s="29" t="str">
        <f>INDEX(Projects!$D:$D,MATCH(tbl_Tasks_Clean[[#This Row],[Project_ID]],Projects!$A:$A,0))</f>
        <v>Youssef Adel</v>
      </c>
      <c r="Z149" s="29" t="str">
        <f>IF(tbl_Tasks_Clean[[#This Row],[Delay_Days]]&gt;0,"Delayed by "&amp;TEXT(tbl_Tasks_Clean[[#This Row],[Delay_Days]],"0")&amp;" days",IF(tbl_Tasks_Clean[[#This Row],[Delay_Days]]&lt;0,"Early by "&amp;TEXT(-tbl_Tasks_Clean[[#This Row],[Delay_Days]],"0")&amp;" days","On schedule"))</f>
        <v>Early by 1 days</v>
      </c>
    </row>
    <row r="150" spans="1:26" x14ac:dyDescent="0.3">
      <c r="A150" t="s">
        <v>896</v>
      </c>
      <c r="B150" t="s">
        <v>96</v>
      </c>
      <c r="C150" t="s">
        <v>97</v>
      </c>
      <c r="D150" t="s">
        <v>612</v>
      </c>
      <c r="E150" t="s">
        <v>1435</v>
      </c>
      <c r="F150" t="s">
        <v>167</v>
      </c>
      <c r="G150" t="s">
        <v>350</v>
      </c>
      <c r="H150" t="s">
        <v>356</v>
      </c>
      <c r="I150">
        <v>4000</v>
      </c>
      <c r="J150">
        <v>3665</v>
      </c>
      <c r="K150" s="22">
        <v>45595</v>
      </c>
      <c r="L150" s="22">
        <v>45609</v>
      </c>
      <c r="M150" s="22">
        <v>45606</v>
      </c>
      <c r="N150">
        <v>14</v>
      </c>
      <c r="O150">
        <v>-3</v>
      </c>
      <c r="P150" t="s">
        <v>98</v>
      </c>
      <c r="Q150" t="s">
        <v>99</v>
      </c>
      <c r="R150">
        <v>75000</v>
      </c>
      <c r="S150" t="s">
        <v>164</v>
      </c>
      <c r="T150">
        <v>180</v>
      </c>
      <c r="U150" s="29">
        <f>tbl_Tasks_Clean[[#This Row],[Actual_Cost]]-tbl_Tasks_Clean[[#This Row],[Planned_Cost]]</f>
        <v>-335</v>
      </c>
      <c r="V150" s="30">
        <f>IFERROR(tbl_Tasks_Clean[[#This Row],[Cost_Variance]]/tbl_Tasks_Clean[[#This Row],[Planned_Cost]],0)</f>
        <v>-8.3750000000000005E-2</v>
      </c>
      <c r="W150" t="str">
        <f>IF(AND(tbl_Tasks_Clean[[#This Row],[Status]]="Completed",tbl_Tasks_Clean[[#This Row],[Delay_Days]]&lt;=0),"On Time",IF(AND(tbl_Tasks_Clean[[#This Row],[Status]]="Completed",tbl_Tasks_Clean[[#This Row],[Delay_Days]]&gt;0),"Late","N/A"))</f>
        <v>N/A</v>
      </c>
      <c r="X150" s="29" t="str" cm="1">
        <f t="array" ref="X150">_xlfn.IFS(tbl_Tasks_Clean[[#This Row],[Planned_Duration_Days]]&lt;=7,"Short (&lt;=7 days)",tbl_Tasks_Clean[[#This Row],[Planned_Duration_Days]]&lt;=20,"Medium (8-20 days)",TRUE,"Long (&gt;20 days)")</f>
        <v>Medium (8-20 days)</v>
      </c>
      <c r="Y150" s="29" t="str">
        <f>INDEX(Projects!$D:$D,MATCH(tbl_Tasks_Clean[[#This Row],[Project_ID]],Projects!$A:$A,0))</f>
        <v>Laila Samir</v>
      </c>
      <c r="Z150" s="29" t="str">
        <f>IF(tbl_Tasks_Clean[[#This Row],[Delay_Days]]&gt;0,"Delayed by "&amp;TEXT(tbl_Tasks_Clean[[#This Row],[Delay_Days]],"0")&amp;" days",IF(tbl_Tasks_Clean[[#This Row],[Delay_Days]]&lt;0,"Early by "&amp;TEXT(-tbl_Tasks_Clean[[#This Row],[Delay_Days]],"0")&amp;" days","On schedule"))</f>
        <v>Early by 3 days</v>
      </c>
    </row>
    <row r="151" spans="1:26" x14ac:dyDescent="0.3">
      <c r="A151" t="s">
        <v>900</v>
      </c>
      <c r="B151" t="s">
        <v>109</v>
      </c>
      <c r="C151" t="s">
        <v>110</v>
      </c>
      <c r="D151" t="s">
        <v>901</v>
      </c>
      <c r="E151" t="s">
        <v>206</v>
      </c>
      <c r="F151" t="s">
        <v>214</v>
      </c>
      <c r="G151" t="s">
        <v>250</v>
      </c>
      <c r="H151" t="s">
        <v>314</v>
      </c>
      <c r="I151">
        <v>5000</v>
      </c>
      <c r="J151">
        <v>0</v>
      </c>
      <c r="K151" s="22">
        <v>45554</v>
      </c>
      <c r="L151" s="22">
        <v>45566</v>
      </c>
      <c r="M151" s="22">
        <v>45564</v>
      </c>
      <c r="N151">
        <v>12</v>
      </c>
      <c r="O151">
        <v>-2</v>
      </c>
      <c r="P151" t="s">
        <v>111</v>
      </c>
      <c r="Q151" t="s">
        <v>99</v>
      </c>
      <c r="R151">
        <v>120000</v>
      </c>
      <c r="S151" t="s">
        <v>206</v>
      </c>
      <c r="T151">
        <v>180</v>
      </c>
      <c r="U151" s="29">
        <f>tbl_Tasks_Clean[[#This Row],[Actual_Cost]]-tbl_Tasks_Clean[[#This Row],[Planned_Cost]]</f>
        <v>-5000</v>
      </c>
      <c r="V151" s="30">
        <f>IFERROR(tbl_Tasks_Clean[[#This Row],[Cost_Variance]]/tbl_Tasks_Clean[[#This Row],[Planned_Cost]],0)</f>
        <v>-1</v>
      </c>
      <c r="W151" t="str">
        <f>IF(AND(tbl_Tasks_Clean[[#This Row],[Status]]="Completed",tbl_Tasks_Clean[[#This Row],[Delay_Days]]&lt;=0),"On Time",IF(AND(tbl_Tasks_Clean[[#This Row],[Status]]="Completed",tbl_Tasks_Clean[[#This Row],[Delay_Days]]&gt;0),"Late","N/A"))</f>
        <v>On Time</v>
      </c>
      <c r="X151" s="29" t="str" cm="1">
        <f t="array" ref="X151">_xlfn.IFS(tbl_Tasks_Clean[[#This Row],[Planned_Duration_Days]]&lt;=7,"Short (&lt;=7 days)",tbl_Tasks_Clean[[#This Row],[Planned_Duration_Days]]&lt;=20,"Medium (8-20 days)",TRUE,"Long (&gt;20 days)")</f>
        <v>Medium (8-20 days)</v>
      </c>
      <c r="Y151" s="29" t="str">
        <f>INDEX(Projects!$D:$D,MATCH(tbl_Tasks_Clean[[#This Row],[Project_ID]],Projects!$A:$A,0))</f>
        <v>Laila Samir</v>
      </c>
      <c r="Z151" s="29" t="str">
        <f>IF(tbl_Tasks_Clean[[#This Row],[Delay_Days]]&gt;0,"Delayed by "&amp;TEXT(tbl_Tasks_Clean[[#This Row],[Delay_Days]],"0")&amp;" days",IF(tbl_Tasks_Clean[[#This Row],[Delay_Days]]&lt;0,"Early by "&amp;TEXT(-tbl_Tasks_Clean[[#This Row],[Delay_Days]],"0")&amp;" days","On schedule"))</f>
        <v>Early by 2 days</v>
      </c>
    </row>
    <row r="152" spans="1:26" x14ac:dyDescent="0.3">
      <c r="A152" t="s">
        <v>905</v>
      </c>
      <c r="B152" t="s">
        <v>101</v>
      </c>
      <c r="C152" t="s">
        <v>102</v>
      </c>
      <c r="D152" t="s">
        <v>906</v>
      </c>
      <c r="E152" t="s">
        <v>1435</v>
      </c>
      <c r="F152" t="s">
        <v>149</v>
      </c>
      <c r="G152" t="s">
        <v>281</v>
      </c>
      <c r="H152" t="s">
        <v>356</v>
      </c>
      <c r="I152">
        <v>2500</v>
      </c>
      <c r="J152">
        <v>3431</v>
      </c>
      <c r="K152" s="22"/>
      <c r="L152" s="22"/>
      <c r="M152" s="22"/>
      <c r="O152">
        <v>0</v>
      </c>
      <c r="P152" t="s">
        <v>103</v>
      </c>
      <c r="Q152" t="s">
        <v>94</v>
      </c>
      <c r="R152">
        <v>50000</v>
      </c>
      <c r="S152" t="s">
        <v>150</v>
      </c>
      <c r="T152">
        <v>150</v>
      </c>
      <c r="U152" s="29">
        <f>tbl_Tasks_Clean[[#This Row],[Actual_Cost]]-tbl_Tasks_Clean[[#This Row],[Planned_Cost]]</f>
        <v>931</v>
      </c>
      <c r="V152" s="30">
        <f>IFERROR(tbl_Tasks_Clean[[#This Row],[Cost_Variance]]/tbl_Tasks_Clean[[#This Row],[Planned_Cost]],0)</f>
        <v>0.37240000000000001</v>
      </c>
      <c r="W152" t="str">
        <f>IF(AND(tbl_Tasks_Clean[[#This Row],[Status]]="Completed",tbl_Tasks_Clean[[#This Row],[Delay_Days]]&lt;=0),"On Time",IF(AND(tbl_Tasks_Clean[[#This Row],[Status]]="Completed",tbl_Tasks_Clean[[#This Row],[Delay_Days]]&gt;0),"Late","N/A"))</f>
        <v>N/A</v>
      </c>
      <c r="X152" s="29" t="str" cm="1">
        <f t="array" ref="X152">_xlfn.IFS(tbl_Tasks_Clean[[#This Row],[Planned_Duration_Days]]&lt;=7,"Short (&lt;=7 days)",tbl_Tasks_Clean[[#This Row],[Planned_Duration_Days]]&lt;=20,"Medium (8-20 days)",TRUE,"Long (&gt;20 days)")</f>
        <v>Short (&lt;=7 days)</v>
      </c>
      <c r="Y152" s="29" t="str">
        <f>INDEX(Projects!$D:$D,MATCH(tbl_Tasks_Clean[[#This Row],[Project_ID]],Projects!$A:$A,0))</f>
        <v>Ahmed Nabil</v>
      </c>
      <c r="Z152" s="29" t="str">
        <f>IF(tbl_Tasks_Clean[[#This Row],[Delay_Days]]&gt;0,"Delayed by "&amp;TEXT(tbl_Tasks_Clean[[#This Row],[Delay_Days]],"0")&amp;" days",IF(tbl_Tasks_Clean[[#This Row],[Delay_Days]]&lt;0,"Early by "&amp;TEXT(-tbl_Tasks_Clean[[#This Row],[Delay_Days]],"0")&amp;" days","On schedule"))</f>
        <v>On schedule</v>
      </c>
    </row>
    <row r="153" spans="1:26" x14ac:dyDescent="0.3">
      <c r="A153" t="s">
        <v>910</v>
      </c>
      <c r="B153" t="s">
        <v>140</v>
      </c>
      <c r="C153" t="s">
        <v>141</v>
      </c>
      <c r="D153" t="s">
        <v>537</v>
      </c>
      <c r="E153" t="s">
        <v>187</v>
      </c>
      <c r="F153" t="s">
        <v>176</v>
      </c>
      <c r="G153" t="s">
        <v>350</v>
      </c>
      <c r="H153" t="s">
        <v>314</v>
      </c>
      <c r="I153">
        <v>1500</v>
      </c>
      <c r="J153">
        <v>1522</v>
      </c>
      <c r="K153" s="22">
        <v>45509</v>
      </c>
      <c r="L153" s="22">
        <v>45538</v>
      </c>
      <c r="M153" s="22">
        <v>45540</v>
      </c>
      <c r="N153">
        <v>29</v>
      </c>
      <c r="O153">
        <v>2</v>
      </c>
      <c r="P153" t="s">
        <v>111</v>
      </c>
      <c r="Q153" t="s">
        <v>116</v>
      </c>
      <c r="R153">
        <v>75000</v>
      </c>
      <c r="S153" t="s">
        <v>177</v>
      </c>
      <c r="T153">
        <v>250</v>
      </c>
      <c r="U153" s="29">
        <f>tbl_Tasks_Clean[[#This Row],[Actual_Cost]]-tbl_Tasks_Clean[[#This Row],[Planned_Cost]]</f>
        <v>22</v>
      </c>
      <c r="V153" s="30">
        <f>IFERROR(tbl_Tasks_Clean[[#This Row],[Cost_Variance]]/tbl_Tasks_Clean[[#This Row],[Planned_Cost]],0)</f>
        <v>1.4666666666666666E-2</v>
      </c>
      <c r="W153" t="str">
        <f>IF(AND(tbl_Tasks_Clean[[#This Row],[Status]]="Completed",tbl_Tasks_Clean[[#This Row],[Delay_Days]]&lt;=0),"On Time",IF(AND(tbl_Tasks_Clean[[#This Row],[Status]]="Completed",tbl_Tasks_Clean[[#This Row],[Delay_Days]]&gt;0),"Late","N/A"))</f>
        <v>Late</v>
      </c>
      <c r="X153" s="29" t="str" cm="1">
        <f t="array" ref="X153">_xlfn.IFS(tbl_Tasks_Clean[[#This Row],[Planned_Duration_Days]]&lt;=7,"Short (&lt;=7 days)",tbl_Tasks_Clean[[#This Row],[Planned_Duration_Days]]&lt;=20,"Medium (8-20 days)",TRUE,"Long (&gt;20 days)")</f>
        <v>Long (&gt;20 days)</v>
      </c>
      <c r="Y153" s="29" t="str">
        <f>INDEX(Projects!$D:$D,MATCH(tbl_Tasks_Clean[[#This Row],[Project_ID]],Projects!$A:$A,0))</f>
        <v>Nourhan Tarek</v>
      </c>
      <c r="Z153" s="29" t="str">
        <f>IF(tbl_Tasks_Clean[[#This Row],[Delay_Days]]&gt;0,"Delayed by "&amp;TEXT(tbl_Tasks_Clean[[#This Row],[Delay_Days]],"0")&amp;" days",IF(tbl_Tasks_Clean[[#This Row],[Delay_Days]]&lt;0,"Early by "&amp;TEXT(-tbl_Tasks_Clean[[#This Row],[Delay_Days]],"0")&amp;" days","On schedule"))</f>
        <v>Delayed by 2 days</v>
      </c>
    </row>
    <row r="154" spans="1:26" x14ac:dyDescent="0.3">
      <c r="A154" t="s">
        <v>914</v>
      </c>
      <c r="B154" t="s">
        <v>140</v>
      </c>
      <c r="C154" t="s">
        <v>141</v>
      </c>
      <c r="D154" t="s">
        <v>915</v>
      </c>
      <c r="E154" t="s">
        <v>206</v>
      </c>
      <c r="F154" t="s">
        <v>214</v>
      </c>
      <c r="G154" t="s">
        <v>281</v>
      </c>
      <c r="H154" t="s">
        <v>269</v>
      </c>
      <c r="I154">
        <v>6000</v>
      </c>
      <c r="J154">
        <v>4767</v>
      </c>
      <c r="K154" s="22">
        <v>45526</v>
      </c>
      <c r="L154" s="22">
        <v>45537</v>
      </c>
      <c r="M154" s="22">
        <v>45551</v>
      </c>
      <c r="N154">
        <v>11</v>
      </c>
      <c r="O154">
        <v>14</v>
      </c>
      <c r="P154" t="s">
        <v>111</v>
      </c>
      <c r="Q154" t="s">
        <v>116</v>
      </c>
      <c r="R154">
        <v>75000</v>
      </c>
      <c r="S154" t="s">
        <v>206</v>
      </c>
      <c r="T154">
        <v>180</v>
      </c>
      <c r="U154" s="29">
        <f>tbl_Tasks_Clean[[#This Row],[Actual_Cost]]-tbl_Tasks_Clean[[#This Row],[Planned_Cost]]</f>
        <v>-1233</v>
      </c>
      <c r="V154" s="30">
        <f>IFERROR(tbl_Tasks_Clean[[#This Row],[Cost_Variance]]/tbl_Tasks_Clean[[#This Row],[Planned_Cost]],0)</f>
        <v>-0.20549999999999999</v>
      </c>
      <c r="W154" t="str">
        <f>IF(AND(tbl_Tasks_Clean[[#This Row],[Status]]="Completed",tbl_Tasks_Clean[[#This Row],[Delay_Days]]&lt;=0),"On Time",IF(AND(tbl_Tasks_Clean[[#This Row],[Status]]="Completed",tbl_Tasks_Clean[[#This Row],[Delay_Days]]&gt;0),"Late","N/A"))</f>
        <v>N/A</v>
      </c>
      <c r="X154" s="29" t="str" cm="1">
        <f t="array" ref="X154">_xlfn.IFS(tbl_Tasks_Clean[[#This Row],[Planned_Duration_Days]]&lt;=7,"Short (&lt;=7 days)",tbl_Tasks_Clean[[#This Row],[Planned_Duration_Days]]&lt;=20,"Medium (8-20 days)",TRUE,"Long (&gt;20 days)")</f>
        <v>Medium (8-20 days)</v>
      </c>
      <c r="Y154" s="29" t="str">
        <f>INDEX(Projects!$D:$D,MATCH(tbl_Tasks_Clean[[#This Row],[Project_ID]],Projects!$A:$A,0))</f>
        <v>Nourhan Tarek</v>
      </c>
      <c r="Z154" s="29" t="str">
        <f>IF(tbl_Tasks_Clean[[#This Row],[Delay_Days]]&gt;0,"Delayed by "&amp;TEXT(tbl_Tasks_Clean[[#This Row],[Delay_Days]],"0")&amp;" days",IF(tbl_Tasks_Clean[[#This Row],[Delay_Days]]&lt;0,"Early by "&amp;TEXT(-tbl_Tasks_Clean[[#This Row],[Delay_Days]],"0")&amp;" days","On schedule"))</f>
        <v>Delayed by 14 days</v>
      </c>
    </row>
    <row r="155" spans="1:26" x14ac:dyDescent="0.3">
      <c r="A155" t="s">
        <v>919</v>
      </c>
      <c r="B155" t="s">
        <v>91</v>
      </c>
      <c r="C155" t="s">
        <v>92</v>
      </c>
      <c r="D155" t="s">
        <v>920</v>
      </c>
      <c r="E155" t="s">
        <v>164</v>
      </c>
      <c r="F155" t="s">
        <v>190</v>
      </c>
      <c r="G155" t="s">
        <v>350</v>
      </c>
      <c r="H155" t="s">
        <v>314</v>
      </c>
      <c r="I155">
        <v>10000</v>
      </c>
      <c r="J155">
        <v>13448</v>
      </c>
      <c r="K155" s="22">
        <v>45427</v>
      </c>
      <c r="L155" s="22">
        <v>45449</v>
      </c>
      <c r="M155" s="22">
        <v>45451</v>
      </c>
      <c r="N155">
        <v>22</v>
      </c>
      <c r="O155">
        <v>2</v>
      </c>
      <c r="P155" t="s">
        <v>93</v>
      </c>
      <c r="Q155" t="s">
        <v>94</v>
      </c>
      <c r="R155">
        <v>100000</v>
      </c>
      <c r="S155" t="s">
        <v>187</v>
      </c>
      <c r="T155">
        <v>280</v>
      </c>
      <c r="U155" s="29">
        <f>tbl_Tasks_Clean[[#This Row],[Actual_Cost]]-tbl_Tasks_Clean[[#This Row],[Planned_Cost]]</f>
        <v>3448</v>
      </c>
      <c r="V155" s="30">
        <f>IFERROR(tbl_Tasks_Clean[[#This Row],[Cost_Variance]]/tbl_Tasks_Clean[[#This Row],[Planned_Cost]],0)</f>
        <v>0.3448</v>
      </c>
      <c r="W155" t="str">
        <f>IF(AND(tbl_Tasks_Clean[[#This Row],[Status]]="Completed",tbl_Tasks_Clean[[#This Row],[Delay_Days]]&lt;=0),"On Time",IF(AND(tbl_Tasks_Clean[[#This Row],[Status]]="Completed",tbl_Tasks_Clean[[#This Row],[Delay_Days]]&gt;0),"Late","N/A"))</f>
        <v>Late</v>
      </c>
      <c r="X155" s="29" t="str" cm="1">
        <f t="array" ref="X155">_xlfn.IFS(tbl_Tasks_Clean[[#This Row],[Planned_Duration_Days]]&lt;=7,"Short (&lt;=7 days)",tbl_Tasks_Clean[[#This Row],[Planned_Duration_Days]]&lt;=20,"Medium (8-20 days)",TRUE,"Long (&gt;20 days)")</f>
        <v>Long (&gt;20 days)</v>
      </c>
      <c r="Y155" s="29" t="str">
        <f>INDEX(Projects!$D:$D,MATCH(tbl_Tasks_Clean[[#This Row],[Project_ID]],Projects!$A:$A,0))</f>
        <v>Ahmed Nabil</v>
      </c>
      <c r="Z155" s="29" t="str">
        <f>IF(tbl_Tasks_Clean[[#This Row],[Delay_Days]]&gt;0,"Delayed by "&amp;TEXT(tbl_Tasks_Clean[[#This Row],[Delay_Days]],"0")&amp;" days",IF(tbl_Tasks_Clean[[#This Row],[Delay_Days]]&lt;0,"Early by "&amp;TEXT(-tbl_Tasks_Clean[[#This Row],[Delay_Days]],"0")&amp;" days","On schedule"))</f>
        <v>Delayed by 2 days</v>
      </c>
    </row>
    <row r="156" spans="1:26" x14ac:dyDescent="0.3">
      <c r="A156" t="s">
        <v>923</v>
      </c>
      <c r="B156" t="s">
        <v>86</v>
      </c>
      <c r="C156" t="s">
        <v>87</v>
      </c>
      <c r="D156" t="s">
        <v>471</v>
      </c>
      <c r="F156" t="s">
        <v>183</v>
      </c>
      <c r="G156" t="s">
        <v>250</v>
      </c>
      <c r="H156" t="s">
        <v>287</v>
      </c>
      <c r="I156">
        <v>10000</v>
      </c>
      <c r="J156">
        <v>5205</v>
      </c>
      <c r="K156" s="22">
        <v>45600</v>
      </c>
      <c r="L156" s="22">
        <v>45607</v>
      </c>
      <c r="M156" s="22"/>
      <c r="N156">
        <v>7</v>
      </c>
      <c r="O156">
        <v>0</v>
      </c>
      <c r="P156" t="s">
        <v>88</v>
      </c>
      <c r="Q156" t="s">
        <v>89</v>
      </c>
      <c r="R156">
        <v>150000</v>
      </c>
      <c r="S156" t="s">
        <v>177</v>
      </c>
      <c r="T156">
        <v>220</v>
      </c>
      <c r="U156" s="29">
        <f>tbl_Tasks_Clean[[#This Row],[Actual_Cost]]-tbl_Tasks_Clean[[#This Row],[Planned_Cost]]</f>
        <v>-4795</v>
      </c>
      <c r="V156" s="30">
        <f>IFERROR(tbl_Tasks_Clean[[#This Row],[Cost_Variance]]/tbl_Tasks_Clean[[#This Row],[Planned_Cost]],0)</f>
        <v>-0.47949999999999998</v>
      </c>
      <c r="W156" t="str">
        <f>IF(AND(tbl_Tasks_Clean[[#This Row],[Status]]="Completed",tbl_Tasks_Clean[[#This Row],[Delay_Days]]&lt;=0),"On Time",IF(AND(tbl_Tasks_Clean[[#This Row],[Status]]="Completed",tbl_Tasks_Clean[[#This Row],[Delay_Days]]&gt;0),"Late","N/A"))</f>
        <v>N/A</v>
      </c>
      <c r="X156" s="29" t="str" cm="1">
        <f t="array" ref="X156">_xlfn.IFS(tbl_Tasks_Clean[[#This Row],[Planned_Duration_Days]]&lt;=7,"Short (&lt;=7 days)",tbl_Tasks_Clean[[#This Row],[Planned_Duration_Days]]&lt;=20,"Medium (8-20 days)",TRUE,"Long (&gt;20 days)")</f>
        <v>Short (&lt;=7 days)</v>
      </c>
      <c r="Y156" s="29" t="str">
        <f>INDEX(Projects!$D:$D,MATCH(tbl_Tasks_Clean[[#This Row],[Project_ID]],Projects!$A:$A,0))</f>
        <v>Youssef Adel</v>
      </c>
      <c r="Z156" s="29" t="str">
        <f>IF(tbl_Tasks_Clean[[#This Row],[Delay_Days]]&gt;0,"Delayed by "&amp;TEXT(tbl_Tasks_Clean[[#This Row],[Delay_Days]],"0")&amp;" days",IF(tbl_Tasks_Clean[[#This Row],[Delay_Days]]&lt;0,"Early by "&amp;TEXT(-tbl_Tasks_Clean[[#This Row],[Delay_Days]],"0")&amp;" days","On schedule"))</f>
        <v>On schedule</v>
      </c>
    </row>
    <row r="157" spans="1:26" x14ac:dyDescent="0.3">
      <c r="A157" t="s">
        <v>926</v>
      </c>
      <c r="B157" t="s">
        <v>105</v>
      </c>
      <c r="C157" t="s">
        <v>106</v>
      </c>
      <c r="D157" t="s">
        <v>1009</v>
      </c>
      <c r="E157" t="s">
        <v>197</v>
      </c>
      <c r="F157" t="s">
        <v>222</v>
      </c>
      <c r="G157" t="s">
        <v>281</v>
      </c>
      <c r="H157" t="s">
        <v>314</v>
      </c>
      <c r="I157">
        <v>6000</v>
      </c>
      <c r="J157">
        <v>5228</v>
      </c>
      <c r="K157" s="22">
        <v>45421</v>
      </c>
      <c r="L157" s="22">
        <v>45444</v>
      </c>
      <c r="M157" s="22">
        <v>45443</v>
      </c>
      <c r="N157">
        <v>23</v>
      </c>
      <c r="O157">
        <v>-1</v>
      </c>
      <c r="P157" t="s">
        <v>107</v>
      </c>
      <c r="Q157" t="s">
        <v>84</v>
      </c>
      <c r="R157">
        <v>120000</v>
      </c>
      <c r="S157" t="s">
        <v>219</v>
      </c>
      <c r="T157">
        <v>250</v>
      </c>
      <c r="U157" s="29">
        <f>tbl_Tasks_Clean[[#This Row],[Actual_Cost]]-tbl_Tasks_Clean[[#This Row],[Planned_Cost]]</f>
        <v>-772</v>
      </c>
      <c r="V157" s="30">
        <f>IFERROR(tbl_Tasks_Clean[[#This Row],[Cost_Variance]]/tbl_Tasks_Clean[[#This Row],[Planned_Cost]],0)</f>
        <v>-0.12866666666666668</v>
      </c>
      <c r="W157" t="str">
        <f>IF(AND(tbl_Tasks_Clean[[#This Row],[Status]]="Completed",tbl_Tasks_Clean[[#This Row],[Delay_Days]]&lt;=0),"On Time",IF(AND(tbl_Tasks_Clean[[#This Row],[Status]]="Completed",tbl_Tasks_Clean[[#This Row],[Delay_Days]]&gt;0),"Late","N/A"))</f>
        <v>On Time</v>
      </c>
      <c r="X157" s="29" t="str" cm="1">
        <f t="array" ref="X157">_xlfn.IFS(tbl_Tasks_Clean[[#This Row],[Planned_Duration_Days]]&lt;=7,"Short (&lt;=7 days)",tbl_Tasks_Clean[[#This Row],[Planned_Duration_Days]]&lt;=20,"Medium (8-20 days)",TRUE,"Long (&gt;20 days)")</f>
        <v>Long (&gt;20 days)</v>
      </c>
      <c r="Y157" s="29" t="str">
        <f>INDEX(Projects!$D:$D,MATCH(tbl_Tasks_Clean[[#This Row],[Project_ID]],Projects!$A:$A,0))</f>
        <v>Mona Farid</v>
      </c>
      <c r="Z157" s="29" t="str">
        <f>IF(tbl_Tasks_Clean[[#This Row],[Delay_Days]]&gt;0,"Delayed by "&amp;TEXT(tbl_Tasks_Clean[[#This Row],[Delay_Days]],"0")&amp;" days",IF(tbl_Tasks_Clean[[#This Row],[Delay_Days]]&lt;0,"Early by "&amp;TEXT(-tbl_Tasks_Clean[[#This Row],[Delay_Days]],"0")&amp;" days","On schedule"))</f>
        <v>Early by 1 days</v>
      </c>
    </row>
    <row r="158" spans="1:26" x14ac:dyDescent="0.3">
      <c r="A158" t="s">
        <v>931</v>
      </c>
      <c r="B158" t="s">
        <v>105</v>
      </c>
      <c r="C158" t="s">
        <v>106</v>
      </c>
      <c r="D158" t="s">
        <v>932</v>
      </c>
      <c r="E158" t="s">
        <v>206</v>
      </c>
      <c r="F158" t="s">
        <v>216</v>
      </c>
      <c r="G158" t="s">
        <v>281</v>
      </c>
      <c r="H158" t="s">
        <v>287</v>
      </c>
      <c r="I158">
        <v>10000</v>
      </c>
      <c r="J158">
        <v>3846</v>
      </c>
      <c r="K158" s="22">
        <v>45375</v>
      </c>
      <c r="L158" s="22">
        <v>45391</v>
      </c>
      <c r="M158" s="22"/>
      <c r="N158">
        <v>16</v>
      </c>
      <c r="O158">
        <v>0</v>
      </c>
      <c r="P158" t="s">
        <v>107</v>
      </c>
      <c r="Q158" t="s">
        <v>84</v>
      </c>
      <c r="R158">
        <v>120000</v>
      </c>
      <c r="S158" t="s">
        <v>206</v>
      </c>
      <c r="T158">
        <v>200</v>
      </c>
      <c r="U158" s="29">
        <f>tbl_Tasks_Clean[[#This Row],[Actual_Cost]]-tbl_Tasks_Clean[[#This Row],[Planned_Cost]]</f>
        <v>-6154</v>
      </c>
      <c r="V158" s="30">
        <f>IFERROR(tbl_Tasks_Clean[[#This Row],[Cost_Variance]]/tbl_Tasks_Clean[[#This Row],[Planned_Cost]],0)</f>
        <v>-0.61539999999999995</v>
      </c>
      <c r="W158" t="str">
        <f>IF(AND(tbl_Tasks_Clean[[#This Row],[Status]]="Completed",tbl_Tasks_Clean[[#This Row],[Delay_Days]]&lt;=0),"On Time",IF(AND(tbl_Tasks_Clean[[#This Row],[Status]]="Completed",tbl_Tasks_Clean[[#This Row],[Delay_Days]]&gt;0),"Late","N/A"))</f>
        <v>N/A</v>
      </c>
      <c r="X158" s="29" t="str" cm="1">
        <f t="array" ref="X158">_xlfn.IFS(tbl_Tasks_Clean[[#This Row],[Planned_Duration_Days]]&lt;=7,"Short (&lt;=7 days)",tbl_Tasks_Clean[[#This Row],[Planned_Duration_Days]]&lt;=20,"Medium (8-20 days)",TRUE,"Long (&gt;20 days)")</f>
        <v>Medium (8-20 days)</v>
      </c>
      <c r="Y158" s="29" t="str">
        <f>INDEX(Projects!$D:$D,MATCH(tbl_Tasks_Clean[[#This Row],[Project_ID]],Projects!$A:$A,0))</f>
        <v>Mona Farid</v>
      </c>
      <c r="Z158" s="29" t="str">
        <f>IF(tbl_Tasks_Clean[[#This Row],[Delay_Days]]&gt;0,"Delayed by "&amp;TEXT(tbl_Tasks_Clean[[#This Row],[Delay_Days]],"0")&amp;" days",IF(tbl_Tasks_Clean[[#This Row],[Delay_Days]]&lt;0,"Early by "&amp;TEXT(-tbl_Tasks_Clean[[#This Row],[Delay_Days]],"0")&amp;" days","On schedule"))</f>
        <v>On schedule</v>
      </c>
    </row>
    <row r="159" spans="1:26" x14ac:dyDescent="0.3">
      <c r="A159" t="s">
        <v>935</v>
      </c>
      <c r="B159" t="s">
        <v>101</v>
      </c>
      <c r="C159" t="s">
        <v>102</v>
      </c>
      <c r="D159" t="s">
        <v>936</v>
      </c>
      <c r="E159" t="s">
        <v>177</v>
      </c>
      <c r="F159" t="s">
        <v>209</v>
      </c>
      <c r="G159" t="s">
        <v>281</v>
      </c>
      <c r="H159" t="s">
        <v>287</v>
      </c>
      <c r="I159">
        <v>1500</v>
      </c>
      <c r="J159">
        <v>1055</v>
      </c>
      <c r="K159" s="22">
        <v>45307</v>
      </c>
      <c r="L159" s="22">
        <v>45320</v>
      </c>
      <c r="M159" s="22"/>
      <c r="N159">
        <v>13</v>
      </c>
      <c r="O159">
        <v>0</v>
      </c>
      <c r="P159" t="s">
        <v>103</v>
      </c>
      <c r="Q159" t="s">
        <v>94</v>
      </c>
      <c r="R159">
        <v>50000</v>
      </c>
      <c r="S159" t="s">
        <v>206</v>
      </c>
      <c r="T159">
        <v>250</v>
      </c>
      <c r="U159" s="29">
        <f>tbl_Tasks_Clean[[#This Row],[Actual_Cost]]-tbl_Tasks_Clean[[#This Row],[Planned_Cost]]</f>
        <v>-445</v>
      </c>
      <c r="V159" s="30">
        <f>IFERROR(tbl_Tasks_Clean[[#This Row],[Cost_Variance]]/tbl_Tasks_Clean[[#This Row],[Planned_Cost]],0)</f>
        <v>-0.29666666666666669</v>
      </c>
      <c r="W159" t="str">
        <f>IF(AND(tbl_Tasks_Clean[[#This Row],[Status]]="Completed",tbl_Tasks_Clean[[#This Row],[Delay_Days]]&lt;=0),"On Time",IF(AND(tbl_Tasks_Clean[[#This Row],[Status]]="Completed",tbl_Tasks_Clean[[#This Row],[Delay_Days]]&gt;0),"Late","N/A"))</f>
        <v>N/A</v>
      </c>
      <c r="X159" s="29" t="str" cm="1">
        <f t="array" ref="X159">_xlfn.IFS(tbl_Tasks_Clean[[#This Row],[Planned_Duration_Days]]&lt;=7,"Short (&lt;=7 days)",tbl_Tasks_Clean[[#This Row],[Planned_Duration_Days]]&lt;=20,"Medium (8-20 days)",TRUE,"Long (&gt;20 days)")</f>
        <v>Medium (8-20 days)</v>
      </c>
      <c r="Y159" s="29" t="str">
        <f>INDEX(Projects!$D:$D,MATCH(tbl_Tasks_Clean[[#This Row],[Project_ID]],Projects!$A:$A,0))</f>
        <v>Ahmed Nabil</v>
      </c>
      <c r="Z159" s="29" t="str">
        <f>IF(tbl_Tasks_Clean[[#This Row],[Delay_Days]]&gt;0,"Delayed by "&amp;TEXT(tbl_Tasks_Clean[[#This Row],[Delay_Days]],"0")&amp;" days",IF(tbl_Tasks_Clean[[#This Row],[Delay_Days]]&lt;0,"Early by "&amp;TEXT(-tbl_Tasks_Clean[[#This Row],[Delay_Days]],"0")&amp;" days","On schedule"))</f>
        <v>On schedule</v>
      </c>
    </row>
    <row r="160" spans="1:26" x14ac:dyDescent="0.3">
      <c r="A160" t="s">
        <v>939</v>
      </c>
      <c r="B160" t="s">
        <v>113</v>
      </c>
      <c r="C160" t="s">
        <v>114</v>
      </c>
      <c r="D160" t="s">
        <v>389</v>
      </c>
      <c r="E160" t="s">
        <v>197</v>
      </c>
      <c r="F160" t="s">
        <v>214</v>
      </c>
      <c r="G160" t="s">
        <v>281</v>
      </c>
      <c r="H160" t="s">
        <v>314</v>
      </c>
      <c r="I160">
        <v>10000</v>
      </c>
      <c r="J160">
        <v>8702</v>
      </c>
      <c r="K160" s="22"/>
      <c r="L160" s="22"/>
      <c r="M160" s="22"/>
      <c r="O160">
        <v>0</v>
      </c>
      <c r="P160" t="s">
        <v>115</v>
      </c>
      <c r="Q160" t="s">
        <v>116</v>
      </c>
      <c r="R160">
        <v>300000</v>
      </c>
      <c r="S160" t="s">
        <v>206</v>
      </c>
      <c r="T160">
        <v>180</v>
      </c>
      <c r="U160" s="29">
        <f>tbl_Tasks_Clean[[#This Row],[Actual_Cost]]-tbl_Tasks_Clean[[#This Row],[Planned_Cost]]</f>
        <v>-1298</v>
      </c>
      <c r="V160" s="30">
        <f>IFERROR(tbl_Tasks_Clean[[#This Row],[Cost_Variance]]/tbl_Tasks_Clean[[#This Row],[Planned_Cost]],0)</f>
        <v>-0.1298</v>
      </c>
      <c r="W160" t="str">
        <f>IF(AND(tbl_Tasks_Clean[[#This Row],[Status]]="Completed",tbl_Tasks_Clean[[#This Row],[Delay_Days]]&lt;=0),"On Time",IF(AND(tbl_Tasks_Clean[[#This Row],[Status]]="Completed",tbl_Tasks_Clean[[#This Row],[Delay_Days]]&gt;0),"Late","N/A"))</f>
        <v>On Time</v>
      </c>
      <c r="X160" s="29" t="str" cm="1">
        <f t="array" ref="X160">_xlfn.IFS(tbl_Tasks_Clean[[#This Row],[Planned_Duration_Days]]&lt;=7,"Short (&lt;=7 days)",tbl_Tasks_Clean[[#This Row],[Planned_Duration_Days]]&lt;=20,"Medium (8-20 days)",TRUE,"Long (&gt;20 days)")</f>
        <v>Short (&lt;=7 days)</v>
      </c>
      <c r="Y160" s="29" t="str">
        <f>INDEX(Projects!$D:$D,MATCH(tbl_Tasks_Clean[[#This Row],[Project_ID]],Projects!$A:$A,0))</f>
        <v>Nourhan Tarek</v>
      </c>
      <c r="Z160" s="29" t="str">
        <f>IF(tbl_Tasks_Clean[[#This Row],[Delay_Days]]&gt;0,"Delayed by "&amp;TEXT(tbl_Tasks_Clean[[#This Row],[Delay_Days]],"0")&amp;" days",IF(tbl_Tasks_Clean[[#This Row],[Delay_Days]]&lt;0,"Early by "&amp;TEXT(-tbl_Tasks_Clean[[#This Row],[Delay_Days]],"0")&amp;" days","On schedule"))</f>
        <v>On schedule</v>
      </c>
    </row>
    <row r="161" spans="1:26" x14ac:dyDescent="0.3">
      <c r="A161" t="s">
        <v>942</v>
      </c>
      <c r="B161" t="s">
        <v>122</v>
      </c>
      <c r="C161" t="s">
        <v>123</v>
      </c>
      <c r="D161" t="s">
        <v>686</v>
      </c>
      <c r="E161" t="s">
        <v>197</v>
      </c>
      <c r="F161" t="s">
        <v>186</v>
      </c>
      <c r="G161" t="s">
        <v>281</v>
      </c>
      <c r="H161" t="s">
        <v>314</v>
      </c>
      <c r="I161">
        <v>3000</v>
      </c>
      <c r="J161">
        <v>2904</v>
      </c>
      <c r="K161" s="22"/>
      <c r="L161" s="22"/>
      <c r="M161" s="22"/>
      <c r="O161">
        <v>0</v>
      </c>
      <c r="P161" t="s">
        <v>111</v>
      </c>
      <c r="Q161" t="s">
        <v>124</v>
      </c>
      <c r="R161">
        <v>150000</v>
      </c>
      <c r="S161" t="s">
        <v>187</v>
      </c>
      <c r="T161">
        <v>220</v>
      </c>
      <c r="U161" s="29">
        <f>tbl_Tasks_Clean[[#This Row],[Actual_Cost]]-tbl_Tasks_Clean[[#This Row],[Planned_Cost]]</f>
        <v>-96</v>
      </c>
      <c r="V161" s="30">
        <f>IFERROR(tbl_Tasks_Clean[[#This Row],[Cost_Variance]]/tbl_Tasks_Clean[[#This Row],[Planned_Cost]],0)</f>
        <v>-3.2000000000000001E-2</v>
      </c>
      <c r="W161" t="str">
        <f>IF(AND(tbl_Tasks_Clean[[#This Row],[Status]]="Completed",tbl_Tasks_Clean[[#This Row],[Delay_Days]]&lt;=0),"On Time",IF(AND(tbl_Tasks_Clean[[#This Row],[Status]]="Completed",tbl_Tasks_Clean[[#This Row],[Delay_Days]]&gt;0),"Late","N/A"))</f>
        <v>On Time</v>
      </c>
      <c r="X161" s="29" t="str" cm="1">
        <f t="array" ref="X161">_xlfn.IFS(tbl_Tasks_Clean[[#This Row],[Planned_Duration_Days]]&lt;=7,"Short (&lt;=7 days)",tbl_Tasks_Clean[[#This Row],[Planned_Duration_Days]]&lt;=20,"Medium (8-20 days)",TRUE,"Long (&gt;20 days)")</f>
        <v>Short (&lt;=7 days)</v>
      </c>
      <c r="Y161" s="29" t="str">
        <f>INDEX(Projects!$D:$D,MATCH(tbl_Tasks_Clean[[#This Row],[Project_ID]],Projects!$A:$A,0))</f>
        <v>Sara Hassan</v>
      </c>
      <c r="Z161" s="29" t="str">
        <f>IF(tbl_Tasks_Clean[[#This Row],[Delay_Days]]&gt;0,"Delayed by "&amp;TEXT(tbl_Tasks_Clean[[#This Row],[Delay_Days]],"0")&amp;" days",IF(tbl_Tasks_Clean[[#This Row],[Delay_Days]]&lt;0,"Early by "&amp;TEXT(-tbl_Tasks_Clean[[#This Row],[Delay_Days]],"0")&amp;" days","On schedule"))</f>
        <v>On schedule</v>
      </c>
    </row>
    <row r="162" spans="1:26" x14ac:dyDescent="0.3">
      <c r="A162" t="s">
        <v>945</v>
      </c>
      <c r="B162" t="s">
        <v>126</v>
      </c>
      <c r="C162" t="s">
        <v>127</v>
      </c>
      <c r="D162" t="s">
        <v>946</v>
      </c>
      <c r="E162" t="s">
        <v>187</v>
      </c>
      <c r="F162" t="s">
        <v>212</v>
      </c>
      <c r="G162" t="s">
        <v>350</v>
      </c>
      <c r="H162" t="s">
        <v>356</v>
      </c>
      <c r="I162">
        <v>6000</v>
      </c>
      <c r="J162">
        <v>8007</v>
      </c>
      <c r="K162" s="22">
        <v>45403</v>
      </c>
      <c r="L162" s="22">
        <v>45427</v>
      </c>
      <c r="M162" s="22">
        <v>45428</v>
      </c>
      <c r="N162">
        <v>24</v>
      </c>
      <c r="O162">
        <v>1</v>
      </c>
      <c r="P162" t="s">
        <v>128</v>
      </c>
      <c r="Q162" t="s">
        <v>94</v>
      </c>
      <c r="R162">
        <v>200000</v>
      </c>
      <c r="S162" t="s">
        <v>206</v>
      </c>
      <c r="T162">
        <v>180</v>
      </c>
      <c r="U162" s="29">
        <f>tbl_Tasks_Clean[[#This Row],[Actual_Cost]]-tbl_Tasks_Clean[[#This Row],[Planned_Cost]]</f>
        <v>2007</v>
      </c>
      <c r="V162" s="30">
        <f>IFERROR(tbl_Tasks_Clean[[#This Row],[Cost_Variance]]/tbl_Tasks_Clean[[#This Row],[Planned_Cost]],0)</f>
        <v>0.33450000000000002</v>
      </c>
      <c r="W162" t="str">
        <f>IF(AND(tbl_Tasks_Clean[[#This Row],[Status]]="Completed",tbl_Tasks_Clean[[#This Row],[Delay_Days]]&lt;=0),"On Time",IF(AND(tbl_Tasks_Clean[[#This Row],[Status]]="Completed",tbl_Tasks_Clean[[#This Row],[Delay_Days]]&gt;0),"Late","N/A"))</f>
        <v>N/A</v>
      </c>
      <c r="X162" s="29" t="str" cm="1">
        <f t="array" ref="X162">_xlfn.IFS(tbl_Tasks_Clean[[#This Row],[Planned_Duration_Days]]&lt;=7,"Short (&lt;=7 days)",tbl_Tasks_Clean[[#This Row],[Planned_Duration_Days]]&lt;=20,"Medium (8-20 days)",TRUE,"Long (&gt;20 days)")</f>
        <v>Long (&gt;20 days)</v>
      </c>
      <c r="Y162" s="29" t="str">
        <f>INDEX(Projects!$D:$D,MATCH(tbl_Tasks_Clean[[#This Row],[Project_ID]],Projects!$A:$A,0))</f>
        <v>Ahmed Nabil</v>
      </c>
      <c r="Z162" s="29" t="str">
        <f>IF(tbl_Tasks_Clean[[#This Row],[Delay_Days]]&gt;0,"Delayed by "&amp;TEXT(tbl_Tasks_Clean[[#This Row],[Delay_Days]],"0")&amp;" days",IF(tbl_Tasks_Clean[[#This Row],[Delay_Days]]&lt;0,"Early by "&amp;TEXT(-tbl_Tasks_Clean[[#This Row],[Delay_Days]],"0")&amp;" days","On schedule"))</f>
        <v>Delayed by 1 days</v>
      </c>
    </row>
    <row r="163" spans="1:26" x14ac:dyDescent="0.3">
      <c r="A163" t="s">
        <v>949</v>
      </c>
      <c r="B163" t="s">
        <v>136</v>
      </c>
      <c r="C163" t="s">
        <v>137</v>
      </c>
      <c r="D163" t="s">
        <v>950</v>
      </c>
      <c r="E163" t="s">
        <v>150</v>
      </c>
      <c r="F163" t="s">
        <v>224</v>
      </c>
      <c r="G163" t="s">
        <v>350</v>
      </c>
      <c r="H163" t="s">
        <v>287</v>
      </c>
      <c r="I163">
        <v>8000</v>
      </c>
      <c r="J163">
        <v>0</v>
      </c>
      <c r="K163" s="22"/>
      <c r="L163" s="22"/>
      <c r="M163" s="22"/>
      <c r="O163">
        <v>0</v>
      </c>
      <c r="P163" t="s">
        <v>138</v>
      </c>
      <c r="Q163" t="s">
        <v>94</v>
      </c>
      <c r="R163">
        <v>300000</v>
      </c>
      <c r="S163" t="s">
        <v>219</v>
      </c>
      <c r="T163">
        <v>200</v>
      </c>
      <c r="U163" s="29">
        <f>tbl_Tasks_Clean[[#This Row],[Actual_Cost]]-tbl_Tasks_Clean[[#This Row],[Planned_Cost]]</f>
        <v>-8000</v>
      </c>
      <c r="V163" s="30">
        <f>IFERROR(tbl_Tasks_Clean[[#This Row],[Cost_Variance]]/tbl_Tasks_Clean[[#This Row],[Planned_Cost]],0)</f>
        <v>-1</v>
      </c>
      <c r="W163" t="str">
        <f>IF(AND(tbl_Tasks_Clean[[#This Row],[Status]]="Completed",tbl_Tasks_Clean[[#This Row],[Delay_Days]]&lt;=0),"On Time",IF(AND(tbl_Tasks_Clean[[#This Row],[Status]]="Completed",tbl_Tasks_Clean[[#This Row],[Delay_Days]]&gt;0),"Late","N/A"))</f>
        <v>N/A</v>
      </c>
      <c r="X163" s="29" t="str" cm="1">
        <f t="array" ref="X163">_xlfn.IFS(tbl_Tasks_Clean[[#This Row],[Planned_Duration_Days]]&lt;=7,"Short (&lt;=7 days)",tbl_Tasks_Clean[[#This Row],[Planned_Duration_Days]]&lt;=20,"Medium (8-20 days)",TRUE,"Long (&gt;20 days)")</f>
        <v>Short (&lt;=7 days)</v>
      </c>
      <c r="Y163" s="29" t="str">
        <f>INDEX(Projects!$D:$D,MATCH(tbl_Tasks_Clean[[#This Row],[Project_ID]],Projects!$A:$A,0))</f>
        <v>Ahmed Nabil</v>
      </c>
      <c r="Z163" s="29" t="str">
        <f>IF(tbl_Tasks_Clean[[#This Row],[Delay_Days]]&gt;0,"Delayed by "&amp;TEXT(tbl_Tasks_Clean[[#This Row],[Delay_Days]],"0")&amp;" days",IF(tbl_Tasks_Clean[[#This Row],[Delay_Days]]&lt;0,"Early by "&amp;TEXT(-tbl_Tasks_Clean[[#This Row],[Delay_Days]],"0")&amp;" days","On schedule"))</f>
        <v>On schedule</v>
      </c>
    </row>
    <row r="164" spans="1:26" x14ac:dyDescent="0.3">
      <c r="A164" t="s">
        <v>953</v>
      </c>
      <c r="B164" t="s">
        <v>118</v>
      </c>
      <c r="C164" t="s">
        <v>119</v>
      </c>
      <c r="D164" t="s">
        <v>954</v>
      </c>
      <c r="E164" t="s">
        <v>164</v>
      </c>
      <c r="F164" t="s">
        <v>190</v>
      </c>
      <c r="G164" t="s">
        <v>250</v>
      </c>
      <c r="H164" t="s">
        <v>487</v>
      </c>
      <c r="I164">
        <v>5000</v>
      </c>
      <c r="J164">
        <v>5985</v>
      </c>
      <c r="K164" s="22">
        <v>45397</v>
      </c>
      <c r="L164" s="22">
        <v>45421</v>
      </c>
      <c r="M164" s="22">
        <v>45433</v>
      </c>
      <c r="N164">
        <v>24</v>
      </c>
      <c r="O164">
        <v>12</v>
      </c>
      <c r="P164" t="s">
        <v>120</v>
      </c>
      <c r="Q164" t="s">
        <v>99</v>
      </c>
      <c r="R164">
        <v>100000</v>
      </c>
      <c r="S164" t="s">
        <v>187</v>
      </c>
      <c r="T164">
        <v>280</v>
      </c>
      <c r="U164" s="29">
        <f>tbl_Tasks_Clean[[#This Row],[Actual_Cost]]-tbl_Tasks_Clean[[#This Row],[Planned_Cost]]</f>
        <v>985</v>
      </c>
      <c r="V164" s="30">
        <f>IFERROR(tbl_Tasks_Clean[[#This Row],[Cost_Variance]]/tbl_Tasks_Clean[[#This Row],[Planned_Cost]],0)</f>
        <v>0.19700000000000001</v>
      </c>
      <c r="W164" t="str">
        <f>IF(AND(tbl_Tasks_Clean[[#This Row],[Status]]="Completed",tbl_Tasks_Clean[[#This Row],[Delay_Days]]&lt;=0),"On Time",IF(AND(tbl_Tasks_Clean[[#This Row],[Status]]="Completed",tbl_Tasks_Clean[[#This Row],[Delay_Days]]&gt;0),"Late","N/A"))</f>
        <v>N/A</v>
      </c>
      <c r="X164" s="29" t="str" cm="1">
        <f t="array" ref="X164">_xlfn.IFS(tbl_Tasks_Clean[[#This Row],[Planned_Duration_Days]]&lt;=7,"Short (&lt;=7 days)",tbl_Tasks_Clean[[#This Row],[Planned_Duration_Days]]&lt;=20,"Medium (8-20 days)",TRUE,"Long (&gt;20 days)")</f>
        <v>Long (&gt;20 days)</v>
      </c>
      <c r="Y164" s="29" t="str">
        <f>INDEX(Projects!$D:$D,MATCH(tbl_Tasks_Clean[[#This Row],[Project_ID]],Projects!$A:$A,0))</f>
        <v>Laila Samir</v>
      </c>
      <c r="Z164" s="29" t="str">
        <f>IF(tbl_Tasks_Clean[[#This Row],[Delay_Days]]&gt;0,"Delayed by "&amp;TEXT(tbl_Tasks_Clean[[#This Row],[Delay_Days]],"0")&amp;" days",IF(tbl_Tasks_Clean[[#This Row],[Delay_Days]]&lt;0,"Early by "&amp;TEXT(-tbl_Tasks_Clean[[#This Row],[Delay_Days]],"0")&amp;" days","On schedule"))</f>
        <v>Delayed by 12 days</v>
      </c>
    </row>
    <row r="165" spans="1:26" x14ac:dyDescent="0.3">
      <c r="A165" t="s">
        <v>957</v>
      </c>
      <c r="B165" t="s">
        <v>140</v>
      </c>
      <c r="C165" t="s">
        <v>141</v>
      </c>
      <c r="D165" t="s">
        <v>958</v>
      </c>
      <c r="E165" t="s">
        <v>206</v>
      </c>
      <c r="F165" t="s">
        <v>190</v>
      </c>
      <c r="G165" t="s">
        <v>281</v>
      </c>
      <c r="H165" t="s">
        <v>319</v>
      </c>
      <c r="I165">
        <v>2500</v>
      </c>
      <c r="J165">
        <v>1707</v>
      </c>
      <c r="K165" s="22">
        <v>45511</v>
      </c>
      <c r="L165" s="22">
        <v>45531</v>
      </c>
      <c r="M165" s="22"/>
      <c r="N165">
        <v>20</v>
      </c>
      <c r="O165">
        <v>0</v>
      </c>
      <c r="P165" t="s">
        <v>111</v>
      </c>
      <c r="Q165" t="s">
        <v>116</v>
      </c>
      <c r="R165">
        <v>75000</v>
      </c>
      <c r="S165" t="s">
        <v>187</v>
      </c>
      <c r="T165">
        <v>280</v>
      </c>
      <c r="U165" s="29">
        <f>tbl_Tasks_Clean[[#This Row],[Actual_Cost]]-tbl_Tasks_Clean[[#This Row],[Planned_Cost]]</f>
        <v>-793</v>
      </c>
      <c r="V165" s="30">
        <f>IFERROR(tbl_Tasks_Clean[[#This Row],[Cost_Variance]]/tbl_Tasks_Clean[[#This Row],[Planned_Cost]],0)</f>
        <v>-0.31719999999999998</v>
      </c>
      <c r="W165" t="str">
        <f>IF(AND(tbl_Tasks_Clean[[#This Row],[Status]]="Completed",tbl_Tasks_Clean[[#This Row],[Delay_Days]]&lt;=0),"On Time",IF(AND(tbl_Tasks_Clean[[#This Row],[Status]]="Completed",tbl_Tasks_Clean[[#This Row],[Delay_Days]]&gt;0),"Late","N/A"))</f>
        <v>N/A</v>
      </c>
      <c r="X165" s="29" t="str" cm="1">
        <f t="array" ref="X165">_xlfn.IFS(tbl_Tasks_Clean[[#This Row],[Planned_Duration_Days]]&lt;=7,"Short (&lt;=7 days)",tbl_Tasks_Clean[[#This Row],[Planned_Duration_Days]]&lt;=20,"Medium (8-20 days)",TRUE,"Long (&gt;20 days)")</f>
        <v>Medium (8-20 days)</v>
      </c>
      <c r="Y165" s="29" t="str">
        <f>INDEX(Projects!$D:$D,MATCH(tbl_Tasks_Clean[[#This Row],[Project_ID]],Projects!$A:$A,0))</f>
        <v>Nourhan Tarek</v>
      </c>
      <c r="Z165" s="29" t="str">
        <f>IF(tbl_Tasks_Clean[[#This Row],[Delay_Days]]&gt;0,"Delayed by "&amp;TEXT(tbl_Tasks_Clean[[#This Row],[Delay_Days]],"0")&amp;" days",IF(tbl_Tasks_Clean[[#This Row],[Delay_Days]]&lt;0,"Early by "&amp;TEXT(-tbl_Tasks_Clean[[#This Row],[Delay_Days]],"0")&amp;" days","On schedule"))</f>
        <v>On schedule</v>
      </c>
    </row>
    <row r="166" spans="1:26" x14ac:dyDescent="0.3">
      <c r="A166" t="s">
        <v>960</v>
      </c>
      <c r="B166" t="s">
        <v>129</v>
      </c>
      <c r="C166" t="s">
        <v>130</v>
      </c>
      <c r="D166" t="s">
        <v>961</v>
      </c>
      <c r="E166" t="s">
        <v>177</v>
      </c>
      <c r="F166" t="s">
        <v>209</v>
      </c>
      <c r="G166" t="s">
        <v>250</v>
      </c>
      <c r="H166" t="s">
        <v>314</v>
      </c>
      <c r="I166">
        <v>2000</v>
      </c>
      <c r="J166">
        <v>2260</v>
      </c>
      <c r="K166" s="22">
        <v>45440</v>
      </c>
      <c r="L166" s="22">
        <v>45468</v>
      </c>
      <c r="M166" s="22">
        <v>45465</v>
      </c>
      <c r="N166">
        <v>28</v>
      </c>
      <c r="O166">
        <v>-3</v>
      </c>
      <c r="P166" t="s">
        <v>131</v>
      </c>
      <c r="Q166" t="s">
        <v>94</v>
      </c>
      <c r="R166">
        <v>250000</v>
      </c>
      <c r="S166" t="s">
        <v>206</v>
      </c>
      <c r="T166">
        <v>250</v>
      </c>
      <c r="U166" s="29">
        <f>tbl_Tasks_Clean[[#This Row],[Actual_Cost]]-tbl_Tasks_Clean[[#This Row],[Planned_Cost]]</f>
        <v>260</v>
      </c>
      <c r="V166" s="30">
        <f>IFERROR(tbl_Tasks_Clean[[#This Row],[Cost_Variance]]/tbl_Tasks_Clean[[#This Row],[Planned_Cost]],0)</f>
        <v>0.13</v>
      </c>
      <c r="W166" t="str">
        <f>IF(AND(tbl_Tasks_Clean[[#This Row],[Status]]="Completed",tbl_Tasks_Clean[[#This Row],[Delay_Days]]&lt;=0),"On Time",IF(AND(tbl_Tasks_Clean[[#This Row],[Status]]="Completed",tbl_Tasks_Clean[[#This Row],[Delay_Days]]&gt;0),"Late","N/A"))</f>
        <v>On Time</v>
      </c>
      <c r="X166" s="29" t="str" cm="1">
        <f t="array" ref="X166">_xlfn.IFS(tbl_Tasks_Clean[[#This Row],[Planned_Duration_Days]]&lt;=7,"Short (&lt;=7 days)",tbl_Tasks_Clean[[#This Row],[Planned_Duration_Days]]&lt;=20,"Medium (8-20 days)",TRUE,"Long (&gt;20 days)")</f>
        <v>Long (&gt;20 days)</v>
      </c>
      <c r="Y166" s="29" t="str">
        <f>INDEX(Projects!$D:$D,MATCH(tbl_Tasks_Clean[[#This Row],[Project_ID]],Projects!$A:$A,0))</f>
        <v>Ahmed Nabil</v>
      </c>
      <c r="Z166" s="29" t="str">
        <f>IF(tbl_Tasks_Clean[[#This Row],[Delay_Days]]&gt;0,"Delayed by "&amp;TEXT(tbl_Tasks_Clean[[#This Row],[Delay_Days]],"0")&amp;" days",IF(tbl_Tasks_Clean[[#This Row],[Delay_Days]]&lt;0,"Early by "&amp;TEXT(-tbl_Tasks_Clean[[#This Row],[Delay_Days]],"0")&amp;" days","On schedule"))</f>
        <v>Early by 3 days</v>
      </c>
    </row>
    <row r="167" spans="1:26" x14ac:dyDescent="0.3">
      <c r="A167" t="s">
        <v>963</v>
      </c>
      <c r="B167" t="s">
        <v>113</v>
      </c>
      <c r="C167" t="s">
        <v>114</v>
      </c>
      <c r="D167" t="s">
        <v>710</v>
      </c>
      <c r="E167" t="s">
        <v>197</v>
      </c>
      <c r="F167" t="s">
        <v>155</v>
      </c>
      <c r="G167" t="s">
        <v>250</v>
      </c>
      <c r="H167" t="s">
        <v>314</v>
      </c>
      <c r="I167">
        <v>10000</v>
      </c>
      <c r="J167">
        <v>11467</v>
      </c>
      <c r="K167" s="22">
        <v>45440</v>
      </c>
      <c r="L167" s="22">
        <v>45465</v>
      </c>
      <c r="M167" s="22">
        <v>45466</v>
      </c>
      <c r="N167">
        <v>25</v>
      </c>
      <c r="O167">
        <v>1</v>
      </c>
      <c r="P167" t="s">
        <v>115</v>
      </c>
      <c r="Q167" t="s">
        <v>116</v>
      </c>
      <c r="R167">
        <v>300000</v>
      </c>
      <c r="S167" t="s">
        <v>150</v>
      </c>
      <c r="T167">
        <v>280</v>
      </c>
      <c r="U167" s="29">
        <f>tbl_Tasks_Clean[[#This Row],[Actual_Cost]]-tbl_Tasks_Clean[[#This Row],[Planned_Cost]]</f>
        <v>1467</v>
      </c>
      <c r="V167" s="30">
        <f>IFERROR(tbl_Tasks_Clean[[#This Row],[Cost_Variance]]/tbl_Tasks_Clean[[#This Row],[Planned_Cost]],0)</f>
        <v>0.1467</v>
      </c>
      <c r="W167" t="str">
        <f>IF(AND(tbl_Tasks_Clean[[#This Row],[Status]]="Completed",tbl_Tasks_Clean[[#This Row],[Delay_Days]]&lt;=0),"On Time",IF(AND(tbl_Tasks_Clean[[#This Row],[Status]]="Completed",tbl_Tasks_Clean[[#This Row],[Delay_Days]]&gt;0),"Late","N/A"))</f>
        <v>Late</v>
      </c>
      <c r="X167" s="29" t="str" cm="1">
        <f t="array" ref="X167">_xlfn.IFS(tbl_Tasks_Clean[[#This Row],[Planned_Duration_Days]]&lt;=7,"Short (&lt;=7 days)",tbl_Tasks_Clean[[#This Row],[Planned_Duration_Days]]&lt;=20,"Medium (8-20 days)",TRUE,"Long (&gt;20 days)")</f>
        <v>Long (&gt;20 days)</v>
      </c>
      <c r="Y167" s="29" t="str">
        <f>INDEX(Projects!$D:$D,MATCH(tbl_Tasks_Clean[[#This Row],[Project_ID]],Projects!$A:$A,0))</f>
        <v>Nourhan Tarek</v>
      </c>
      <c r="Z167" s="29" t="str">
        <f>IF(tbl_Tasks_Clean[[#This Row],[Delay_Days]]&gt;0,"Delayed by "&amp;TEXT(tbl_Tasks_Clean[[#This Row],[Delay_Days]],"0")&amp;" days",IF(tbl_Tasks_Clean[[#This Row],[Delay_Days]]&lt;0,"Early by "&amp;TEXT(-tbl_Tasks_Clean[[#This Row],[Delay_Days]],"0")&amp;" days","On schedule"))</f>
        <v>Delayed by 1 days</v>
      </c>
    </row>
    <row r="168" spans="1:26" x14ac:dyDescent="0.3">
      <c r="A168" t="s">
        <v>965</v>
      </c>
      <c r="B168" t="s">
        <v>113</v>
      </c>
      <c r="C168" t="s">
        <v>114</v>
      </c>
      <c r="D168" t="s">
        <v>966</v>
      </c>
      <c r="E168" t="s">
        <v>1435</v>
      </c>
      <c r="F168" t="s">
        <v>153</v>
      </c>
      <c r="G168" t="s">
        <v>350</v>
      </c>
      <c r="H168" t="s">
        <v>287</v>
      </c>
      <c r="I168">
        <v>8000</v>
      </c>
      <c r="J168">
        <v>3789</v>
      </c>
      <c r="K168" s="22">
        <v>45350</v>
      </c>
      <c r="L168" s="22">
        <v>45359</v>
      </c>
      <c r="M168" s="22"/>
      <c r="N168">
        <v>9</v>
      </c>
      <c r="O168">
        <v>0</v>
      </c>
      <c r="P168" t="s">
        <v>115</v>
      </c>
      <c r="Q168" t="s">
        <v>116</v>
      </c>
      <c r="R168">
        <v>300000</v>
      </c>
      <c r="S168" t="s">
        <v>150</v>
      </c>
      <c r="T168">
        <v>220</v>
      </c>
      <c r="U168" s="29">
        <f>tbl_Tasks_Clean[[#This Row],[Actual_Cost]]-tbl_Tasks_Clean[[#This Row],[Planned_Cost]]</f>
        <v>-4211</v>
      </c>
      <c r="V168" s="30">
        <f>IFERROR(tbl_Tasks_Clean[[#This Row],[Cost_Variance]]/tbl_Tasks_Clean[[#This Row],[Planned_Cost]],0)</f>
        <v>-0.52637500000000004</v>
      </c>
      <c r="W168" t="str">
        <f>IF(AND(tbl_Tasks_Clean[[#This Row],[Status]]="Completed",tbl_Tasks_Clean[[#This Row],[Delay_Days]]&lt;=0),"On Time",IF(AND(tbl_Tasks_Clean[[#This Row],[Status]]="Completed",tbl_Tasks_Clean[[#This Row],[Delay_Days]]&gt;0),"Late","N/A"))</f>
        <v>N/A</v>
      </c>
      <c r="X168" s="29" t="str" cm="1">
        <f t="array" ref="X168">_xlfn.IFS(tbl_Tasks_Clean[[#This Row],[Planned_Duration_Days]]&lt;=7,"Short (&lt;=7 days)",tbl_Tasks_Clean[[#This Row],[Planned_Duration_Days]]&lt;=20,"Medium (8-20 days)",TRUE,"Long (&gt;20 days)")</f>
        <v>Medium (8-20 days)</v>
      </c>
      <c r="Y168" s="29" t="str">
        <f>INDEX(Projects!$D:$D,MATCH(tbl_Tasks_Clean[[#This Row],[Project_ID]],Projects!$A:$A,0))</f>
        <v>Nourhan Tarek</v>
      </c>
      <c r="Z168" s="29" t="str">
        <f>IF(tbl_Tasks_Clean[[#This Row],[Delay_Days]]&gt;0,"Delayed by "&amp;TEXT(tbl_Tasks_Clean[[#This Row],[Delay_Days]],"0")&amp;" days",IF(tbl_Tasks_Clean[[#This Row],[Delay_Days]]&lt;0,"Early by "&amp;TEXT(-tbl_Tasks_Clean[[#This Row],[Delay_Days]],"0")&amp;" days","On schedule"))</f>
        <v>On schedule</v>
      </c>
    </row>
    <row r="169" spans="1:26" x14ac:dyDescent="0.3">
      <c r="A169" t="s">
        <v>968</v>
      </c>
      <c r="B169" t="s">
        <v>91</v>
      </c>
      <c r="C169" t="s">
        <v>92</v>
      </c>
      <c r="D169" t="s">
        <v>969</v>
      </c>
      <c r="E169" t="s">
        <v>197</v>
      </c>
      <c r="F169" t="s">
        <v>158</v>
      </c>
      <c r="G169" t="s">
        <v>350</v>
      </c>
      <c r="H169" t="s">
        <v>269</v>
      </c>
      <c r="I169">
        <v>2500</v>
      </c>
      <c r="J169">
        <v>3247</v>
      </c>
      <c r="K169" s="22">
        <v>45404</v>
      </c>
      <c r="L169" s="22">
        <v>45421</v>
      </c>
      <c r="M169" s="22">
        <v>45432</v>
      </c>
      <c r="N169">
        <v>17</v>
      </c>
      <c r="O169">
        <v>11</v>
      </c>
      <c r="P169" t="s">
        <v>93</v>
      </c>
      <c r="Q169" t="s">
        <v>94</v>
      </c>
      <c r="R169">
        <v>100000</v>
      </c>
      <c r="S169" t="s">
        <v>150</v>
      </c>
      <c r="T169">
        <v>180</v>
      </c>
      <c r="U169" s="29">
        <f>tbl_Tasks_Clean[[#This Row],[Actual_Cost]]-tbl_Tasks_Clean[[#This Row],[Planned_Cost]]</f>
        <v>747</v>
      </c>
      <c r="V169" s="30">
        <f>IFERROR(tbl_Tasks_Clean[[#This Row],[Cost_Variance]]/tbl_Tasks_Clean[[#This Row],[Planned_Cost]],0)</f>
        <v>0.29880000000000001</v>
      </c>
      <c r="W169" t="str">
        <f>IF(AND(tbl_Tasks_Clean[[#This Row],[Status]]="Completed",tbl_Tasks_Clean[[#This Row],[Delay_Days]]&lt;=0),"On Time",IF(AND(tbl_Tasks_Clean[[#This Row],[Status]]="Completed",tbl_Tasks_Clean[[#This Row],[Delay_Days]]&gt;0),"Late","N/A"))</f>
        <v>N/A</v>
      </c>
      <c r="X169" s="29" t="str" cm="1">
        <f t="array" ref="X169">_xlfn.IFS(tbl_Tasks_Clean[[#This Row],[Planned_Duration_Days]]&lt;=7,"Short (&lt;=7 days)",tbl_Tasks_Clean[[#This Row],[Planned_Duration_Days]]&lt;=20,"Medium (8-20 days)",TRUE,"Long (&gt;20 days)")</f>
        <v>Medium (8-20 days)</v>
      </c>
      <c r="Y169" s="29" t="str">
        <f>INDEX(Projects!$D:$D,MATCH(tbl_Tasks_Clean[[#This Row],[Project_ID]],Projects!$A:$A,0))</f>
        <v>Ahmed Nabil</v>
      </c>
      <c r="Z169" s="29" t="str">
        <f>IF(tbl_Tasks_Clean[[#This Row],[Delay_Days]]&gt;0,"Delayed by "&amp;TEXT(tbl_Tasks_Clean[[#This Row],[Delay_Days]],"0")&amp;" days",IF(tbl_Tasks_Clean[[#This Row],[Delay_Days]]&lt;0,"Early by "&amp;TEXT(-tbl_Tasks_Clean[[#This Row],[Delay_Days]],"0")&amp;" days","On schedule"))</f>
        <v>Delayed by 11 days</v>
      </c>
    </row>
    <row r="170" spans="1:26" x14ac:dyDescent="0.3">
      <c r="A170" t="s">
        <v>973</v>
      </c>
      <c r="B170" t="s">
        <v>126</v>
      </c>
      <c r="C170" t="s">
        <v>127</v>
      </c>
      <c r="D170" t="s">
        <v>974</v>
      </c>
      <c r="E170" t="s">
        <v>197</v>
      </c>
      <c r="F170" t="s">
        <v>172</v>
      </c>
      <c r="G170" t="s">
        <v>250</v>
      </c>
      <c r="H170" t="s">
        <v>276</v>
      </c>
      <c r="I170">
        <v>6000</v>
      </c>
      <c r="J170">
        <v>0</v>
      </c>
      <c r="K170" s="22">
        <v>45359</v>
      </c>
      <c r="L170" s="22">
        <v>45385</v>
      </c>
      <c r="M170" s="22"/>
      <c r="N170">
        <v>26</v>
      </c>
      <c r="O170">
        <v>0</v>
      </c>
      <c r="P170" t="s">
        <v>128</v>
      </c>
      <c r="Q170" t="s">
        <v>94</v>
      </c>
      <c r="R170">
        <v>200000</v>
      </c>
      <c r="S170" t="s">
        <v>164</v>
      </c>
      <c r="T170">
        <v>200</v>
      </c>
      <c r="U170" s="29">
        <f>tbl_Tasks_Clean[[#This Row],[Actual_Cost]]-tbl_Tasks_Clean[[#This Row],[Planned_Cost]]</f>
        <v>-6000</v>
      </c>
      <c r="V170" s="30">
        <f>IFERROR(tbl_Tasks_Clean[[#This Row],[Cost_Variance]]/tbl_Tasks_Clean[[#This Row],[Planned_Cost]],0)</f>
        <v>-1</v>
      </c>
      <c r="W170" t="str">
        <f>IF(AND(tbl_Tasks_Clean[[#This Row],[Status]]="Completed",tbl_Tasks_Clean[[#This Row],[Delay_Days]]&lt;=0),"On Time",IF(AND(tbl_Tasks_Clean[[#This Row],[Status]]="Completed",tbl_Tasks_Clean[[#This Row],[Delay_Days]]&gt;0),"Late","N/A"))</f>
        <v>N/A</v>
      </c>
      <c r="X170" s="29" t="str" cm="1">
        <f t="array" ref="X170">_xlfn.IFS(tbl_Tasks_Clean[[#This Row],[Planned_Duration_Days]]&lt;=7,"Short (&lt;=7 days)",tbl_Tasks_Clean[[#This Row],[Planned_Duration_Days]]&lt;=20,"Medium (8-20 days)",TRUE,"Long (&gt;20 days)")</f>
        <v>Long (&gt;20 days)</v>
      </c>
      <c r="Y170" s="29" t="str">
        <f>INDEX(Projects!$D:$D,MATCH(tbl_Tasks_Clean[[#This Row],[Project_ID]],Projects!$A:$A,0))</f>
        <v>Ahmed Nabil</v>
      </c>
      <c r="Z170" s="29" t="str">
        <f>IF(tbl_Tasks_Clean[[#This Row],[Delay_Days]]&gt;0,"Delayed by "&amp;TEXT(tbl_Tasks_Clean[[#This Row],[Delay_Days]],"0")&amp;" days",IF(tbl_Tasks_Clean[[#This Row],[Delay_Days]]&lt;0,"Early by "&amp;TEXT(-tbl_Tasks_Clean[[#This Row],[Delay_Days]],"0")&amp;" days","On schedule"))</f>
        <v>On schedule</v>
      </c>
    </row>
    <row r="171" spans="1:26" x14ac:dyDescent="0.3">
      <c r="A171" t="s">
        <v>976</v>
      </c>
      <c r="B171" t="s">
        <v>126</v>
      </c>
      <c r="C171" t="s">
        <v>127</v>
      </c>
      <c r="D171" t="s">
        <v>306</v>
      </c>
      <c r="E171" t="s">
        <v>150</v>
      </c>
      <c r="F171" t="s">
        <v>149</v>
      </c>
      <c r="G171" t="s">
        <v>250</v>
      </c>
      <c r="H171" t="s">
        <v>287</v>
      </c>
      <c r="I171">
        <v>6000</v>
      </c>
      <c r="J171">
        <v>4502</v>
      </c>
      <c r="K171" s="22">
        <v>45417</v>
      </c>
      <c r="L171" s="22">
        <v>45436</v>
      </c>
      <c r="M171" s="22"/>
      <c r="N171">
        <v>19</v>
      </c>
      <c r="O171">
        <v>0</v>
      </c>
      <c r="P171" t="s">
        <v>128</v>
      </c>
      <c r="Q171" t="s">
        <v>94</v>
      </c>
      <c r="R171">
        <v>200000</v>
      </c>
      <c r="S171" t="s">
        <v>150</v>
      </c>
      <c r="T171">
        <v>150</v>
      </c>
      <c r="U171" s="29">
        <f>tbl_Tasks_Clean[[#This Row],[Actual_Cost]]-tbl_Tasks_Clean[[#This Row],[Planned_Cost]]</f>
        <v>-1498</v>
      </c>
      <c r="V171" s="30">
        <f>IFERROR(tbl_Tasks_Clean[[#This Row],[Cost_Variance]]/tbl_Tasks_Clean[[#This Row],[Planned_Cost]],0)</f>
        <v>-0.24966666666666668</v>
      </c>
      <c r="W171" t="str">
        <f>IF(AND(tbl_Tasks_Clean[[#This Row],[Status]]="Completed",tbl_Tasks_Clean[[#This Row],[Delay_Days]]&lt;=0),"On Time",IF(AND(tbl_Tasks_Clean[[#This Row],[Status]]="Completed",tbl_Tasks_Clean[[#This Row],[Delay_Days]]&gt;0),"Late","N/A"))</f>
        <v>N/A</v>
      </c>
      <c r="X171" s="29" t="str" cm="1">
        <f t="array" ref="X171">_xlfn.IFS(tbl_Tasks_Clean[[#This Row],[Planned_Duration_Days]]&lt;=7,"Short (&lt;=7 days)",tbl_Tasks_Clean[[#This Row],[Planned_Duration_Days]]&lt;=20,"Medium (8-20 days)",TRUE,"Long (&gt;20 days)")</f>
        <v>Medium (8-20 days)</v>
      </c>
      <c r="Y171" s="29" t="str">
        <f>INDEX(Projects!$D:$D,MATCH(tbl_Tasks_Clean[[#This Row],[Project_ID]],Projects!$A:$A,0))</f>
        <v>Ahmed Nabil</v>
      </c>
      <c r="Z171" s="29" t="str">
        <f>IF(tbl_Tasks_Clean[[#This Row],[Delay_Days]]&gt;0,"Delayed by "&amp;TEXT(tbl_Tasks_Clean[[#This Row],[Delay_Days]],"0")&amp;" days",IF(tbl_Tasks_Clean[[#This Row],[Delay_Days]]&lt;0,"Early by "&amp;TEXT(-tbl_Tasks_Clean[[#This Row],[Delay_Days]],"0")&amp;" days","On schedule"))</f>
        <v>On schedule</v>
      </c>
    </row>
    <row r="172" spans="1:26" x14ac:dyDescent="0.3">
      <c r="A172" t="s">
        <v>979</v>
      </c>
      <c r="B172" t="s">
        <v>126</v>
      </c>
      <c r="C172" t="s">
        <v>127</v>
      </c>
      <c r="D172" t="s">
        <v>980</v>
      </c>
      <c r="E172" t="s">
        <v>206</v>
      </c>
      <c r="F172" t="s">
        <v>172</v>
      </c>
      <c r="G172" t="s">
        <v>250</v>
      </c>
      <c r="H172" t="s">
        <v>356</v>
      </c>
      <c r="I172">
        <v>6000</v>
      </c>
      <c r="J172">
        <v>4468</v>
      </c>
      <c r="K172" s="22">
        <v>45423</v>
      </c>
      <c r="L172" s="22">
        <v>45447</v>
      </c>
      <c r="M172" s="22">
        <v>45444</v>
      </c>
      <c r="N172">
        <v>24</v>
      </c>
      <c r="O172">
        <v>-3</v>
      </c>
      <c r="P172" t="s">
        <v>128</v>
      </c>
      <c r="Q172" t="s">
        <v>94</v>
      </c>
      <c r="R172">
        <v>200000</v>
      </c>
      <c r="S172" t="s">
        <v>164</v>
      </c>
      <c r="T172">
        <v>200</v>
      </c>
      <c r="U172" s="29">
        <f>tbl_Tasks_Clean[[#This Row],[Actual_Cost]]-tbl_Tasks_Clean[[#This Row],[Planned_Cost]]</f>
        <v>-1532</v>
      </c>
      <c r="V172" s="30">
        <f>IFERROR(tbl_Tasks_Clean[[#This Row],[Cost_Variance]]/tbl_Tasks_Clean[[#This Row],[Planned_Cost]],0)</f>
        <v>-0.25533333333333336</v>
      </c>
      <c r="W172" t="str">
        <f>IF(AND(tbl_Tasks_Clean[[#This Row],[Status]]="Completed",tbl_Tasks_Clean[[#This Row],[Delay_Days]]&lt;=0),"On Time",IF(AND(tbl_Tasks_Clean[[#This Row],[Status]]="Completed",tbl_Tasks_Clean[[#This Row],[Delay_Days]]&gt;0),"Late","N/A"))</f>
        <v>N/A</v>
      </c>
      <c r="X172" s="29" t="str" cm="1">
        <f t="array" ref="X172">_xlfn.IFS(tbl_Tasks_Clean[[#This Row],[Planned_Duration_Days]]&lt;=7,"Short (&lt;=7 days)",tbl_Tasks_Clean[[#This Row],[Planned_Duration_Days]]&lt;=20,"Medium (8-20 days)",TRUE,"Long (&gt;20 days)")</f>
        <v>Long (&gt;20 days)</v>
      </c>
      <c r="Y172" s="29" t="str">
        <f>INDEX(Projects!$D:$D,MATCH(tbl_Tasks_Clean[[#This Row],[Project_ID]],Projects!$A:$A,0))</f>
        <v>Ahmed Nabil</v>
      </c>
      <c r="Z172" s="29" t="str">
        <f>IF(tbl_Tasks_Clean[[#This Row],[Delay_Days]]&gt;0,"Delayed by "&amp;TEXT(tbl_Tasks_Clean[[#This Row],[Delay_Days]],"0")&amp;" days",IF(tbl_Tasks_Clean[[#This Row],[Delay_Days]]&lt;0,"Early by "&amp;TEXT(-tbl_Tasks_Clean[[#This Row],[Delay_Days]],"0")&amp;" days","On schedule"))</f>
        <v>Early by 3 days</v>
      </c>
    </row>
    <row r="173" spans="1:26" x14ac:dyDescent="0.3">
      <c r="A173" t="s">
        <v>984</v>
      </c>
      <c r="B173" t="s">
        <v>133</v>
      </c>
      <c r="C173" t="s">
        <v>134</v>
      </c>
      <c r="D173" t="s">
        <v>985</v>
      </c>
      <c r="E173" t="s">
        <v>206</v>
      </c>
      <c r="F173" t="s">
        <v>200</v>
      </c>
      <c r="G173" t="s">
        <v>250</v>
      </c>
      <c r="H173" t="s">
        <v>269</v>
      </c>
      <c r="I173">
        <v>1500</v>
      </c>
      <c r="J173">
        <v>1849</v>
      </c>
      <c r="K173" s="22">
        <v>45511</v>
      </c>
      <c r="L173" s="22">
        <v>45531</v>
      </c>
      <c r="M173" s="22">
        <v>45538</v>
      </c>
      <c r="N173">
        <v>20</v>
      </c>
      <c r="O173">
        <v>7</v>
      </c>
      <c r="P173" t="s">
        <v>111</v>
      </c>
      <c r="Q173" t="s">
        <v>116</v>
      </c>
      <c r="R173">
        <v>200000</v>
      </c>
      <c r="S173" t="s">
        <v>197</v>
      </c>
      <c r="T173">
        <v>150</v>
      </c>
      <c r="U173" s="29">
        <f>tbl_Tasks_Clean[[#This Row],[Actual_Cost]]-tbl_Tasks_Clean[[#This Row],[Planned_Cost]]</f>
        <v>349</v>
      </c>
      <c r="V173" s="30">
        <f>IFERROR(tbl_Tasks_Clean[[#This Row],[Cost_Variance]]/tbl_Tasks_Clean[[#This Row],[Planned_Cost]],0)</f>
        <v>0.23266666666666666</v>
      </c>
      <c r="W173" t="str">
        <f>IF(AND(tbl_Tasks_Clean[[#This Row],[Status]]="Completed",tbl_Tasks_Clean[[#This Row],[Delay_Days]]&lt;=0),"On Time",IF(AND(tbl_Tasks_Clean[[#This Row],[Status]]="Completed",tbl_Tasks_Clean[[#This Row],[Delay_Days]]&gt;0),"Late","N/A"))</f>
        <v>N/A</v>
      </c>
      <c r="X173" s="29" t="str" cm="1">
        <f t="array" ref="X173">_xlfn.IFS(tbl_Tasks_Clean[[#This Row],[Planned_Duration_Days]]&lt;=7,"Short (&lt;=7 days)",tbl_Tasks_Clean[[#This Row],[Planned_Duration_Days]]&lt;=20,"Medium (8-20 days)",TRUE,"Long (&gt;20 days)")</f>
        <v>Medium (8-20 days)</v>
      </c>
      <c r="Y173" s="29" t="str">
        <f>INDEX(Projects!$D:$D,MATCH(tbl_Tasks_Clean[[#This Row],[Project_ID]],Projects!$A:$A,0))</f>
        <v>Nourhan Tarek</v>
      </c>
      <c r="Z173" s="29" t="str">
        <f>IF(tbl_Tasks_Clean[[#This Row],[Delay_Days]]&gt;0,"Delayed by "&amp;TEXT(tbl_Tasks_Clean[[#This Row],[Delay_Days]],"0")&amp;" days",IF(tbl_Tasks_Clean[[#This Row],[Delay_Days]]&lt;0,"Early by "&amp;TEXT(-tbl_Tasks_Clean[[#This Row],[Delay_Days]],"0")&amp;" days","On schedule"))</f>
        <v>Delayed by 7 days</v>
      </c>
    </row>
    <row r="174" spans="1:26" x14ac:dyDescent="0.3">
      <c r="A174" t="s">
        <v>989</v>
      </c>
      <c r="B174" t="s">
        <v>136</v>
      </c>
      <c r="C174" t="s">
        <v>137</v>
      </c>
      <c r="D174" t="s">
        <v>990</v>
      </c>
      <c r="E174" t="s">
        <v>177</v>
      </c>
      <c r="F174" t="s">
        <v>203</v>
      </c>
      <c r="G174" t="s">
        <v>250</v>
      </c>
      <c r="H174" t="s">
        <v>314</v>
      </c>
      <c r="I174">
        <v>6000</v>
      </c>
      <c r="J174">
        <v>7063</v>
      </c>
      <c r="K174" s="22">
        <v>45365</v>
      </c>
      <c r="L174" s="22">
        <v>45392</v>
      </c>
      <c r="M174" s="22">
        <v>45391</v>
      </c>
      <c r="N174">
        <v>27</v>
      </c>
      <c r="O174">
        <v>-1</v>
      </c>
      <c r="P174" t="s">
        <v>138</v>
      </c>
      <c r="Q174" t="s">
        <v>94</v>
      </c>
      <c r="R174">
        <v>300000</v>
      </c>
      <c r="S174" t="s">
        <v>197</v>
      </c>
      <c r="T174">
        <v>300</v>
      </c>
      <c r="U174" s="29">
        <f>tbl_Tasks_Clean[[#This Row],[Actual_Cost]]-tbl_Tasks_Clean[[#This Row],[Planned_Cost]]</f>
        <v>1063</v>
      </c>
      <c r="V174" s="30">
        <f>IFERROR(tbl_Tasks_Clean[[#This Row],[Cost_Variance]]/tbl_Tasks_Clean[[#This Row],[Planned_Cost]],0)</f>
        <v>0.17716666666666667</v>
      </c>
      <c r="W174" t="str">
        <f>IF(AND(tbl_Tasks_Clean[[#This Row],[Status]]="Completed",tbl_Tasks_Clean[[#This Row],[Delay_Days]]&lt;=0),"On Time",IF(AND(tbl_Tasks_Clean[[#This Row],[Status]]="Completed",tbl_Tasks_Clean[[#This Row],[Delay_Days]]&gt;0),"Late","N/A"))</f>
        <v>On Time</v>
      </c>
      <c r="X174" s="29" t="str" cm="1">
        <f t="array" ref="X174">_xlfn.IFS(tbl_Tasks_Clean[[#This Row],[Planned_Duration_Days]]&lt;=7,"Short (&lt;=7 days)",tbl_Tasks_Clean[[#This Row],[Planned_Duration_Days]]&lt;=20,"Medium (8-20 days)",TRUE,"Long (&gt;20 days)")</f>
        <v>Long (&gt;20 days)</v>
      </c>
      <c r="Y174" s="29" t="str">
        <f>INDEX(Projects!$D:$D,MATCH(tbl_Tasks_Clean[[#This Row],[Project_ID]],Projects!$A:$A,0))</f>
        <v>Ahmed Nabil</v>
      </c>
      <c r="Z174" s="29" t="str">
        <f>IF(tbl_Tasks_Clean[[#This Row],[Delay_Days]]&gt;0,"Delayed by "&amp;TEXT(tbl_Tasks_Clean[[#This Row],[Delay_Days]],"0")&amp;" days",IF(tbl_Tasks_Clean[[#This Row],[Delay_Days]]&lt;0,"Early by "&amp;TEXT(-tbl_Tasks_Clean[[#This Row],[Delay_Days]],"0")&amp;" days","On schedule"))</f>
        <v>Early by 1 days</v>
      </c>
    </row>
    <row r="175" spans="1:26" x14ac:dyDescent="0.3">
      <c r="A175" t="s">
        <v>992</v>
      </c>
      <c r="B175" t="s">
        <v>91</v>
      </c>
      <c r="C175" t="s">
        <v>92</v>
      </c>
      <c r="D175" t="s">
        <v>363</v>
      </c>
      <c r="E175" t="s">
        <v>164</v>
      </c>
      <c r="F175" t="s">
        <v>176</v>
      </c>
      <c r="G175" t="s">
        <v>250</v>
      </c>
      <c r="H175" t="s">
        <v>314</v>
      </c>
      <c r="I175">
        <v>3000</v>
      </c>
      <c r="J175">
        <v>3668</v>
      </c>
      <c r="K175" s="22">
        <v>45391</v>
      </c>
      <c r="L175" s="22">
        <v>45402</v>
      </c>
      <c r="M175" s="22">
        <v>45402</v>
      </c>
      <c r="N175">
        <v>11</v>
      </c>
      <c r="O175">
        <v>0</v>
      </c>
      <c r="P175" t="s">
        <v>93</v>
      </c>
      <c r="Q175" t="s">
        <v>94</v>
      </c>
      <c r="R175">
        <v>100000</v>
      </c>
      <c r="S175" t="s">
        <v>177</v>
      </c>
      <c r="T175">
        <v>250</v>
      </c>
      <c r="U175" s="29">
        <f>tbl_Tasks_Clean[[#This Row],[Actual_Cost]]-tbl_Tasks_Clean[[#This Row],[Planned_Cost]]</f>
        <v>668</v>
      </c>
      <c r="V175" s="30">
        <f>IFERROR(tbl_Tasks_Clean[[#This Row],[Cost_Variance]]/tbl_Tasks_Clean[[#This Row],[Planned_Cost]],0)</f>
        <v>0.22266666666666668</v>
      </c>
      <c r="W175" t="str">
        <f>IF(AND(tbl_Tasks_Clean[[#This Row],[Status]]="Completed",tbl_Tasks_Clean[[#This Row],[Delay_Days]]&lt;=0),"On Time",IF(AND(tbl_Tasks_Clean[[#This Row],[Status]]="Completed",tbl_Tasks_Clean[[#This Row],[Delay_Days]]&gt;0),"Late","N/A"))</f>
        <v>On Time</v>
      </c>
      <c r="X175" s="29" t="str" cm="1">
        <f t="array" ref="X175">_xlfn.IFS(tbl_Tasks_Clean[[#This Row],[Planned_Duration_Days]]&lt;=7,"Short (&lt;=7 days)",tbl_Tasks_Clean[[#This Row],[Planned_Duration_Days]]&lt;=20,"Medium (8-20 days)",TRUE,"Long (&gt;20 days)")</f>
        <v>Medium (8-20 days)</v>
      </c>
      <c r="Y175" s="29" t="str">
        <f>INDEX(Projects!$D:$D,MATCH(tbl_Tasks_Clean[[#This Row],[Project_ID]],Projects!$A:$A,0))</f>
        <v>Ahmed Nabil</v>
      </c>
      <c r="Z175" s="29" t="str">
        <f>IF(tbl_Tasks_Clean[[#This Row],[Delay_Days]]&gt;0,"Delayed by "&amp;TEXT(tbl_Tasks_Clean[[#This Row],[Delay_Days]],"0")&amp;" days",IF(tbl_Tasks_Clean[[#This Row],[Delay_Days]]&lt;0,"Early by "&amp;TEXT(-tbl_Tasks_Clean[[#This Row],[Delay_Days]],"0")&amp;" days","On schedule"))</f>
        <v>On schedule</v>
      </c>
    </row>
    <row r="176" spans="1:26" x14ac:dyDescent="0.3">
      <c r="A176" t="s">
        <v>994</v>
      </c>
      <c r="B176" t="s">
        <v>126</v>
      </c>
      <c r="C176" t="s">
        <v>127</v>
      </c>
      <c r="D176" t="s">
        <v>630</v>
      </c>
      <c r="E176" t="s">
        <v>177</v>
      </c>
      <c r="F176" t="s">
        <v>1439</v>
      </c>
      <c r="G176" t="s">
        <v>281</v>
      </c>
      <c r="H176" t="s">
        <v>287</v>
      </c>
      <c r="I176">
        <v>6000</v>
      </c>
      <c r="J176">
        <v>2288</v>
      </c>
      <c r="K176" s="22">
        <v>45411</v>
      </c>
      <c r="L176" s="22">
        <v>45420</v>
      </c>
      <c r="M176" s="22"/>
      <c r="N176">
        <v>9</v>
      </c>
      <c r="O176">
        <v>0</v>
      </c>
      <c r="P176" t="s">
        <v>128</v>
      </c>
      <c r="Q176" t="s">
        <v>94</v>
      </c>
      <c r="R176">
        <v>200000</v>
      </c>
      <c r="U176" s="29">
        <f>tbl_Tasks_Clean[[#This Row],[Actual_Cost]]-tbl_Tasks_Clean[[#This Row],[Planned_Cost]]</f>
        <v>-3712</v>
      </c>
      <c r="V176" s="30">
        <f>IFERROR(tbl_Tasks_Clean[[#This Row],[Cost_Variance]]/tbl_Tasks_Clean[[#This Row],[Planned_Cost]],0)</f>
        <v>-0.6186666666666667</v>
      </c>
      <c r="W176" t="str">
        <f>IF(AND(tbl_Tasks_Clean[[#This Row],[Status]]="Completed",tbl_Tasks_Clean[[#This Row],[Delay_Days]]&lt;=0),"On Time",IF(AND(tbl_Tasks_Clean[[#This Row],[Status]]="Completed",tbl_Tasks_Clean[[#This Row],[Delay_Days]]&gt;0),"Late","N/A"))</f>
        <v>N/A</v>
      </c>
      <c r="X176" s="29" t="str" cm="1">
        <f t="array" ref="X176">_xlfn.IFS(tbl_Tasks_Clean[[#This Row],[Planned_Duration_Days]]&lt;=7,"Short (&lt;=7 days)",tbl_Tasks_Clean[[#This Row],[Planned_Duration_Days]]&lt;=20,"Medium (8-20 days)",TRUE,"Long (&gt;20 days)")</f>
        <v>Medium (8-20 days)</v>
      </c>
      <c r="Y176" s="29" t="str">
        <f>INDEX(Projects!$D:$D,MATCH(tbl_Tasks_Clean[[#This Row],[Project_ID]],Projects!$A:$A,0))</f>
        <v>Ahmed Nabil</v>
      </c>
      <c r="Z176" s="29" t="str">
        <f>IF(tbl_Tasks_Clean[[#This Row],[Delay_Days]]&gt;0,"Delayed by "&amp;TEXT(tbl_Tasks_Clean[[#This Row],[Delay_Days]],"0")&amp;" days",IF(tbl_Tasks_Clean[[#This Row],[Delay_Days]]&lt;0,"Early by "&amp;TEXT(-tbl_Tasks_Clean[[#This Row],[Delay_Days]],"0")&amp;" days","On schedule"))</f>
        <v>On schedule</v>
      </c>
    </row>
    <row r="177" spans="1:26" x14ac:dyDescent="0.3">
      <c r="A177" t="s">
        <v>997</v>
      </c>
      <c r="B177" t="s">
        <v>109</v>
      </c>
      <c r="C177" t="s">
        <v>110</v>
      </c>
      <c r="D177" t="s">
        <v>920</v>
      </c>
      <c r="E177" t="s">
        <v>150</v>
      </c>
      <c r="F177" t="s">
        <v>203</v>
      </c>
      <c r="G177" t="s">
        <v>350</v>
      </c>
      <c r="H177" t="s">
        <v>314</v>
      </c>
      <c r="I177">
        <v>8000</v>
      </c>
      <c r="J177">
        <v>7926</v>
      </c>
      <c r="K177" s="22">
        <v>45449</v>
      </c>
      <c r="L177" s="22">
        <v>45466</v>
      </c>
      <c r="M177" s="22">
        <v>45464</v>
      </c>
      <c r="N177">
        <v>17</v>
      </c>
      <c r="O177">
        <v>-2</v>
      </c>
      <c r="P177" t="s">
        <v>111</v>
      </c>
      <c r="Q177" t="s">
        <v>99</v>
      </c>
      <c r="R177">
        <v>120000</v>
      </c>
      <c r="S177" t="s">
        <v>197</v>
      </c>
      <c r="T177">
        <v>300</v>
      </c>
      <c r="U177" s="29">
        <f>tbl_Tasks_Clean[[#This Row],[Actual_Cost]]-tbl_Tasks_Clean[[#This Row],[Planned_Cost]]</f>
        <v>-74</v>
      </c>
      <c r="V177" s="30">
        <f>IFERROR(tbl_Tasks_Clean[[#This Row],[Cost_Variance]]/tbl_Tasks_Clean[[#This Row],[Planned_Cost]],0)</f>
        <v>-9.2499999999999995E-3</v>
      </c>
      <c r="W177" t="str">
        <f>IF(AND(tbl_Tasks_Clean[[#This Row],[Status]]="Completed",tbl_Tasks_Clean[[#This Row],[Delay_Days]]&lt;=0),"On Time",IF(AND(tbl_Tasks_Clean[[#This Row],[Status]]="Completed",tbl_Tasks_Clean[[#This Row],[Delay_Days]]&gt;0),"Late","N/A"))</f>
        <v>On Time</v>
      </c>
      <c r="X177" s="29" t="str" cm="1">
        <f t="array" ref="X177">_xlfn.IFS(tbl_Tasks_Clean[[#This Row],[Planned_Duration_Days]]&lt;=7,"Short (&lt;=7 days)",tbl_Tasks_Clean[[#This Row],[Planned_Duration_Days]]&lt;=20,"Medium (8-20 days)",TRUE,"Long (&gt;20 days)")</f>
        <v>Medium (8-20 days)</v>
      </c>
      <c r="Y177" s="29" t="str">
        <f>INDEX(Projects!$D:$D,MATCH(tbl_Tasks_Clean[[#This Row],[Project_ID]],Projects!$A:$A,0))</f>
        <v>Laila Samir</v>
      </c>
      <c r="Z177" s="29" t="str">
        <f>IF(tbl_Tasks_Clean[[#This Row],[Delay_Days]]&gt;0,"Delayed by "&amp;TEXT(tbl_Tasks_Clean[[#This Row],[Delay_Days]],"0")&amp;" days",IF(tbl_Tasks_Clean[[#This Row],[Delay_Days]]&lt;0,"Early by "&amp;TEXT(-tbl_Tasks_Clean[[#This Row],[Delay_Days]],"0")&amp;" days","On schedule"))</f>
        <v>Early by 2 days</v>
      </c>
    </row>
    <row r="178" spans="1:26" x14ac:dyDescent="0.3">
      <c r="A178" t="s">
        <v>999</v>
      </c>
      <c r="B178" t="s">
        <v>91</v>
      </c>
      <c r="C178" t="s">
        <v>92</v>
      </c>
      <c r="D178" t="s">
        <v>954</v>
      </c>
      <c r="E178" t="s">
        <v>197</v>
      </c>
      <c r="F178" t="s">
        <v>212</v>
      </c>
      <c r="G178" t="s">
        <v>281</v>
      </c>
      <c r="H178" t="s">
        <v>287</v>
      </c>
      <c r="I178">
        <v>6000</v>
      </c>
      <c r="J178">
        <v>4444</v>
      </c>
      <c r="K178" s="22">
        <v>45351</v>
      </c>
      <c r="L178" s="22">
        <v>45379</v>
      </c>
      <c r="M178" s="22"/>
      <c r="N178">
        <v>28</v>
      </c>
      <c r="O178">
        <v>0</v>
      </c>
      <c r="P178" t="s">
        <v>93</v>
      </c>
      <c r="Q178" t="s">
        <v>94</v>
      </c>
      <c r="R178">
        <v>100000</v>
      </c>
      <c r="S178" t="s">
        <v>206</v>
      </c>
      <c r="T178">
        <v>180</v>
      </c>
      <c r="U178" s="29">
        <f>tbl_Tasks_Clean[[#This Row],[Actual_Cost]]-tbl_Tasks_Clean[[#This Row],[Planned_Cost]]</f>
        <v>-1556</v>
      </c>
      <c r="V178" s="30">
        <f>IFERROR(tbl_Tasks_Clean[[#This Row],[Cost_Variance]]/tbl_Tasks_Clean[[#This Row],[Planned_Cost]],0)</f>
        <v>-0.25933333333333336</v>
      </c>
      <c r="W178" t="str">
        <f>IF(AND(tbl_Tasks_Clean[[#This Row],[Status]]="Completed",tbl_Tasks_Clean[[#This Row],[Delay_Days]]&lt;=0),"On Time",IF(AND(tbl_Tasks_Clean[[#This Row],[Status]]="Completed",tbl_Tasks_Clean[[#This Row],[Delay_Days]]&gt;0),"Late","N/A"))</f>
        <v>N/A</v>
      </c>
      <c r="X178" s="29" t="str" cm="1">
        <f t="array" ref="X178">_xlfn.IFS(tbl_Tasks_Clean[[#This Row],[Planned_Duration_Days]]&lt;=7,"Short (&lt;=7 days)",tbl_Tasks_Clean[[#This Row],[Planned_Duration_Days]]&lt;=20,"Medium (8-20 days)",TRUE,"Long (&gt;20 days)")</f>
        <v>Long (&gt;20 days)</v>
      </c>
      <c r="Y178" s="29" t="str">
        <f>INDEX(Projects!$D:$D,MATCH(tbl_Tasks_Clean[[#This Row],[Project_ID]],Projects!$A:$A,0))</f>
        <v>Ahmed Nabil</v>
      </c>
      <c r="Z178" s="29" t="str">
        <f>IF(tbl_Tasks_Clean[[#This Row],[Delay_Days]]&gt;0,"Delayed by "&amp;TEXT(tbl_Tasks_Clean[[#This Row],[Delay_Days]],"0")&amp;" days",IF(tbl_Tasks_Clean[[#This Row],[Delay_Days]]&lt;0,"Early by "&amp;TEXT(-tbl_Tasks_Clean[[#This Row],[Delay_Days]],"0")&amp;" days","On schedule"))</f>
        <v>On schedule</v>
      </c>
    </row>
    <row r="179" spans="1:26" x14ac:dyDescent="0.3">
      <c r="A179" t="s">
        <v>1002</v>
      </c>
      <c r="B179" t="s">
        <v>86</v>
      </c>
      <c r="C179" t="s">
        <v>87</v>
      </c>
      <c r="D179" t="s">
        <v>727</v>
      </c>
      <c r="E179" t="s">
        <v>164</v>
      </c>
      <c r="F179" t="s">
        <v>222</v>
      </c>
      <c r="G179" t="s">
        <v>250</v>
      </c>
      <c r="H179" t="s">
        <v>356</v>
      </c>
      <c r="I179">
        <v>2500</v>
      </c>
      <c r="J179">
        <v>2645</v>
      </c>
      <c r="K179" s="22"/>
      <c r="L179" s="22"/>
      <c r="M179" s="22"/>
      <c r="O179">
        <v>0</v>
      </c>
      <c r="P179" t="s">
        <v>88</v>
      </c>
      <c r="Q179" t="s">
        <v>89</v>
      </c>
      <c r="R179">
        <v>150000</v>
      </c>
      <c r="S179" t="s">
        <v>219</v>
      </c>
      <c r="T179">
        <v>250</v>
      </c>
      <c r="U179" s="29">
        <f>tbl_Tasks_Clean[[#This Row],[Actual_Cost]]-tbl_Tasks_Clean[[#This Row],[Planned_Cost]]</f>
        <v>145</v>
      </c>
      <c r="V179" s="30">
        <f>IFERROR(tbl_Tasks_Clean[[#This Row],[Cost_Variance]]/tbl_Tasks_Clean[[#This Row],[Planned_Cost]],0)</f>
        <v>5.8000000000000003E-2</v>
      </c>
      <c r="W179" t="str">
        <f>IF(AND(tbl_Tasks_Clean[[#This Row],[Status]]="Completed",tbl_Tasks_Clean[[#This Row],[Delay_Days]]&lt;=0),"On Time",IF(AND(tbl_Tasks_Clean[[#This Row],[Status]]="Completed",tbl_Tasks_Clean[[#This Row],[Delay_Days]]&gt;0),"Late","N/A"))</f>
        <v>N/A</v>
      </c>
      <c r="X179" s="29" t="str" cm="1">
        <f t="array" ref="X179">_xlfn.IFS(tbl_Tasks_Clean[[#This Row],[Planned_Duration_Days]]&lt;=7,"Short (&lt;=7 days)",tbl_Tasks_Clean[[#This Row],[Planned_Duration_Days]]&lt;=20,"Medium (8-20 days)",TRUE,"Long (&gt;20 days)")</f>
        <v>Short (&lt;=7 days)</v>
      </c>
      <c r="Y179" s="29" t="str">
        <f>INDEX(Projects!$D:$D,MATCH(tbl_Tasks_Clean[[#This Row],[Project_ID]],Projects!$A:$A,0))</f>
        <v>Youssef Adel</v>
      </c>
      <c r="Z179" s="29" t="str">
        <f>IF(tbl_Tasks_Clean[[#This Row],[Delay_Days]]&gt;0,"Delayed by "&amp;TEXT(tbl_Tasks_Clean[[#This Row],[Delay_Days]],"0")&amp;" days",IF(tbl_Tasks_Clean[[#This Row],[Delay_Days]]&lt;0,"Early by "&amp;TEXT(-tbl_Tasks_Clean[[#This Row],[Delay_Days]],"0")&amp;" days","On schedule"))</f>
        <v>On schedule</v>
      </c>
    </row>
    <row r="180" spans="1:26" x14ac:dyDescent="0.3">
      <c r="A180" t="s">
        <v>1003</v>
      </c>
      <c r="B180" t="s">
        <v>96</v>
      </c>
      <c r="C180" t="s">
        <v>97</v>
      </c>
      <c r="D180" t="s">
        <v>578</v>
      </c>
      <c r="E180" t="s">
        <v>206</v>
      </c>
      <c r="F180" t="s">
        <v>176</v>
      </c>
      <c r="G180" t="s">
        <v>350</v>
      </c>
      <c r="H180" t="s">
        <v>314</v>
      </c>
      <c r="I180">
        <v>6000</v>
      </c>
      <c r="J180">
        <v>8069</v>
      </c>
      <c r="K180" s="22">
        <v>45475</v>
      </c>
      <c r="L180" s="22">
        <v>45491</v>
      </c>
      <c r="M180" s="22">
        <v>45488</v>
      </c>
      <c r="N180">
        <v>16</v>
      </c>
      <c r="O180">
        <v>-3</v>
      </c>
      <c r="P180" t="s">
        <v>98</v>
      </c>
      <c r="Q180" t="s">
        <v>99</v>
      </c>
      <c r="R180">
        <v>75000</v>
      </c>
      <c r="S180" t="s">
        <v>177</v>
      </c>
      <c r="T180">
        <v>250</v>
      </c>
      <c r="U180" s="29">
        <f>tbl_Tasks_Clean[[#This Row],[Actual_Cost]]-tbl_Tasks_Clean[[#This Row],[Planned_Cost]]</f>
        <v>2069</v>
      </c>
      <c r="V180" s="30">
        <f>IFERROR(tbl_Tasks_Clean[[#This Row],[Cost_Variance]]/tbl_Tasks_Clean[[#This Row],[Planned_Cost]],0)</f>
        <v>0.34483333333333333</v>
      </c>
      <c r="W180" t="str">
        <f>IF(AND(tbl_Tasks_Clean[[#This Row],[Status]]="Completed",tbl_Tasks_Clean[[#This Row],[Delay_Days]]&lt;=0),"On Time",IF(AND(tbl_Tasks_Clean[[#This Row],[Status]]="Completed",tbl_Tasks_Clean[[#This Row],[Delay_Days]]&gt;0),"Late","N/A"))</f>
        <v>On Time</v>
      </c>
      <c r="X180" s="29" t="str" cm="1">
        <f t="array" ref="X180">_xlfn.IFS(tbl_Tasks_Clean[[#This Row],[Planned_Duration_Days]]&lt;=7,"Short (&lt;=7 days)",tbl_Tasks_Clean[[#This Row],[Planned_Duration_Days]]&lt;=20,"Medium (8-20 days)",TRUE,"Long (&gt;20 days)")</f>
        <v>Medium (8-20 days)</v>
      </c>
      <c r="Y180" s="29" t="str">
        <f>INDEX(Projects!$D:$D,MATCH(tbl_Tasks_Clean[[#This Row],[Project_ID]],Projects!$A:$A,0))</f>
        <v>Laila Samir</v>
      </c>
      <c r="Z180" s="29" t="str">
        <f>IF(tbl_Tasks_Clean[[#This Row],[Delay_Days]]&gt;0,"Delayed by "&amp;TEXT(tbl_Tasks_Clean[[#This Row],[Delay_Days]],"0")&amp;" days",IF(tbl_Tasks_Clean[[#This Row],[Delay_Days]]&lt;0,"Early by "&amp;TEXT(-tbl_Tasks_Clean[[#This Row],[Delay_Days]],"0")&amp;" days","On schedule"))</f>
        <v>Early by 3 days</v>
      </c>
    </row>
    <row r="181" spans="1:26" x14ac:dyDescent="0.3">
      <c r="A181" t="s">
        <v>1007</v>
      </c>
      <c r="B181" t="s">
        <v>126</v>
      </c>
      <c r="C181" t="s">
        <v>127</v>
      </c>
      <c r="D181" t="s">
        <v>355</v>
      </c>
      <c r="E181" t="s">
        <v>206</v>
      </c>
      <c r="F181" t="s">
        <v>205</v>
      </c>
      <c r="G181" t="s">
        <v>250</v>
      </c>
      <c r="H181" t="s">
        <v>287</v>
      </c>
      <c r="I181">
        <v>10000</v>
      </c>
      <c r="J181">
        <v>2194</v>
      </c>
      <c r="K181" s="22">
        <v>45493</v>
      </c>
      <c r="L181" s="22">
        <v>45508</v>
      </c>
      <c r="M181" s="22"/>
      <c r="N181">
        <v>15</v>
      </c>
      <c r="O181">
        <v>0</v>
      </c>
      <c r="P181" t="s">
        <v>128</v>
      </c>
      <c r="Q181" t="s">
        <v>94</v>
      </c>
      <c r="R181">
        <v>200000</v>
      </c>
      <c r="S181" t="s">
        <v>206</v>
      </c>
      <c r="T181">
        <v>150</v>
      </c>
      <c r="U181" s="29">
        <f>tbl_Tasks_Clean[[#This Row],[Actual_Cost]]-tbl_Tasks_Clean[[#This Row],[Planned_Cost]]</f>
        <v>-7806</v>
      </c>
      <c r="V181" s="30">
        <f>IFERROR(tbl_Tasks_Clean[[#This Row],[Cost_Variance]]/tbl_Tasks_Clean[[#This Row],[Planned_Cost]],0)</f>
        <v>-0.78059999999999996</v>
      </c>
      <c r="W181" t="str">
        <f>IF(AND(tbl_Tasks_Clean[[#This Row],[Status]]="Completed",tbl_Tasks_Clean[[#This Row],[Delay_Days]]&lt;=0),"On Time",IF(AND(tbl_Tasks_Clean[[#This Row],[Status]]="Completed",tbl_Tasks_Clean[[#This Row],[Delay_Days]]&gt;0),"Late","N/A"))</f>
        <v>N/A</v>
      </c>
      <c r="X181" s="29" t="str" cm="1">
        <f t="array" ref="X181">_xlfn.IFS(tbl_Tasks_Clean[[#This Row],[Planned_Duration_Days]]&lt;=7,"Short (&lt;=7 days)",tbl_Tasks_Clean[[#This Row],[Planned_Duration_Days]]&lt;=20,"Medium (8-20 days)",TRUE,"Long (&gt;20 days)")</f>
        <v>Medium (8-20 days)</v>
      </c>
      <c r="Y181" s="29" t="str">
        <f>INDEX(Projects!$D:$D,MATCH(tbl_Tasks_Clean[[#This Row],[Project_ID]],Projects!$A:$A,0))</f>
        <v>Ahmed Nabil</v>
      </c>
      <c r="Z181" s="29" t="str">
        <f>IF(tbl_Tasks_Clean[[#This Row],[Delay_Days]]&gt;0,"Delayed by "&amp;TEXT(tbl_Tasks_Clean[[#This Row],[Delay_Days]],"0")&amp;" days",IF(tbl_Tasks_Clean[[#This Row],[Delay_Days]]&lt;0,"Early by "&amp;TEXT(-tbl_Tasks_Clean[[#This Row],[Delay_Days]],"0")&amp;" days","On schedule"))</f>
        <v>On schedule</v>
      </c>
    </row>
    <row r="182" spans="1:26" x14ac:dyDescent="0.3">
      <c r="A182" t="s">
        <v>1008</v>
      </c>
      <c r="B182" t="s">
        <v>133</v>
      </c>
      <c r="C182" t="s">
        <v>134</v>
      </c>
      <c r="D182" t="s">
        <v>1009</v>
      </c>
      <c r="E182" t="s">
        <v>150</v>
      </c>
      <c r="F182" t="s">
        <v>205</v>
      </c>
      <c r="G182" t="s">
        <v>1443</v>
      </c>
      <c r="H182" t="s">
        <v>276</v>
      </c>
      <c r="I182">
        <v>3000</v>
      </c>
      <c r="J182">
        <v>0</v>
      </c>
      <c r="K182" s="22">
        <v>45410</v>
      </c>
      <c r="L182" s="22">
        <v>45422</v>
      </c>
      <c r="M182" s="22"/>
      <c r="N182">
        <v>12</v>
      </c>
      <c r="O182">
        <v>0</v>
      </c>
      <c r="P182" t="s">
        <v>111</v>
      </c>
      <c r="Q182" t="s">
        <v>116</v>
      </c>
      <c r="R182">
        <v>200000</v>
      </c>
      <c r="S182" t="s">
        <v>206</v>
      </c>
      <c r="T182">
        <v>150</v>
      </c>
      <c r="U182" s="29">
        <f>tbl_Tasks_Clean[[#This Row],[Actual_Cost]]-tbl_Tasks_Clean[[#This Row],[Planned_Cost]]</f>
        <v>-3000</v>
      </c>
      <c r="V182" s="30">
        <f>IFERROR(tbl_Tasks_Clean[[#This Row],[Cost_Variance]]/tbl_Tasks_Clean[[#This Row],[Planned_Cost]],0)</f>
        <v>-1</v>
      </c>
      <c r="W182" t="str">
        <f>IF(AND(tbl_Tasks_Clean[[#This Row],[Status]]="Completed",tbl_Tasks_Clean[[#This Row],[Delay_Days]]&lt;=0),"On Time",IF(AND(tbl_Tasks_Clean[[#This Row],[Status]]="Completed",tbl_Tasks_Clean[[#This Row],[Delay_Days]]&gt;0),"Late","N/A"))</f>
        <v>N/A</v>
      </c>
      <c r="X182" s="29" t="str" cm="1">
        <f t="array" ref="X182">_xlfn.IFS(tbl_Tasks_Clean[[#This Row],[Planned_Duration_Days]]&lt;=7,"Short (&lt;=7 days)",tbl_Tasks_Clean[[#This Row],[Planned_Duration_Days]]&lt;=20,"Medium (8-20 days)",TRUE,"Long (&gt;20 days)")</f>
        <v>Medium (8-20 days)</v>
      </c>
      <c r="Y182" s="29" t="str">
        <f>INDEX(Projects!$D:$D,MATCH(tbl_Tasks_Clean[[#This Row],[Project_ID]],Projects!$A:$A,0))</f>
        <v>Nourhan Tarek</v>
      </c>
      <c r="Z182" s="29" t="str">
        <f>IF(tbl_Tasks_Clean[[#This Row],[Delay_Days]]&gt;0,"Delayed by "&amp;TEXT(tbl_Tasks_Clean[[#This Row],[Delay_Days]],"0")&amp;" days",IF(tbl_Tasks_Clean[[#This Row],[Delay_Days]]&lt;0,"Early by "&amp;TEXT(-tbl_Tasks_Clean[[#This Row],[Delay_Days]],"0")&amp;" days","On schedule"))</f>
        <v>On schedule</v>
      </c>
    </row>
    <row r="183" spans="1:26" x14ac:dyDescent="0.3">
      <c r="A183" t="s">
        <v>1011</v>
      </c>
      <c r="B183" t="s">
        <v>136</v>
      </c>
      <c r="C183" t="s">
        <v>137</v>
      </c>
      <c r="D183" t="s">
        <v>1012</v>
      </c>
      <c r="E183" t="s">
        <v>197</v>
      </c>
      <c r="F183" t="s">
        <v>155</v>
      </c>
      <c r="G183" t="s">
        <v>250</v>
      </c>
      <c r="H183" t="s">
        <v>314</v>
      </c>
      <c r="I183">
        <v>8000</v>
      </c>
      <c r="J183">
        <v>6196</v>
      </c>
      <c r="K183" s="22">
        <v>45369</v>
      </c>
      <c r="L183" s="22">
        <v>45377</v>
      </c>
      <c r="M183" s="22">
        <v>45377</v>
      </c>
      <c r="N183">
        <v>8</v>
      </c>
      <c r="O183">
        <v>0</v>
      </c>
      <c r="P183" t="s">
        <v>138</v>
      </c>
      <c r="Q183" t="s">
        <v>94</v>
      </c>
      <c r="R183">
        <v>300000</v>
      </c>
      <c r="S183" t="s">
        <v>150</v>
      </c>
      <c r="T183">
        <v>280</v>
      </c>
      <c r="U183" s="29">
        <f>tbl_Tasks_Clean[[#This Row],[Actual_Cost]]-tbl_Tasks_Clean[[#This Row],[Planned_Cost]]</f>
        <v>-1804</v>
      </c>
      <c r="V183" s="30">
        <f>IFERROR(tbl_Tasks_Clean[[#This Row],[Cost_Variance]]/tbl_Tasks_Clean[[#This Row],[Planned_Cost]],0)</f>
        <v>-0.22550000000000001</v>
      </c>
      <c r="W183" t="str">
        <f>IF(AND(tbl_Tasks_Clean[[#This Row],[Status]]="Completed",tbl_Tasks_Clean[[#This Row],[Delay_Days]]&lt;=0),"On Time",IF(AND(tbl_Tasks_Clean[[#This Row],[Status]]="Completed",tbl_Tasks_Clean[[#This Row],[Delay_Days]]&gt;0),"Late","N/A"))</f>
        <v>On Time</v>
      </c>
      <c r="X183" s="29" t="str" cm="1">
        <f t="array" ref="X183">_xlfn.IFS(tbl_Tasks_Clean[[#This Row],[Planned_Duration_Days]]&lt;=7,"Short (&lt;=7 days)",tbl_Tasks_Clean[[#This Row],[Planned_Duration_Days]]&lt;=20,"Medium (8-20 days)",TRUE,"Long (&gt;20 days)")</f>
        <v>Medium (8-20 days)</v>
      </c>
      <c r="Y183" s="29" t="str">
        <f>INDEX(Projects!$D:$D,MATCH(tbl_Tasks_Clean[[#This Row],[Project_ID]],Projects!$A:$A,0))</f>
        <v>Ahmed Nabil</v>
      </c>
      <c r="Z183" s="29" t="str">
        <f>IF(tbl_Tasks_Clean[[#This Row],[Delay_Days]]&gt;0,"Delayed by "&amp;TEXT(tbl_Tasks_Clean[[#This Row],[Delay_Days]],"0")&amp;" days",IF(tbl_Tasks_Clean[[#This Row],[Delay_Days]]&lt;0,"Early by "&amp;TEXT(-tbl_Tasks_Clean[[#This Row],[Delay_Days]],"0")&amp;" days","On schedule"))</f>
        <v>On schedule</v>
      </c>
    </row>
    <row r="184" spans="1:26" x14ac:dyDescent="0.3">
      <c r="A184" t="s">
        <v>1015</v>
      </c>
      <c r="B184" t="s">
        <v>109</v>
      </c>
      <c r="C184" t="s">
        <v>110</v>
      </c>
      <c r="D184" t="s">
        <v>1016</v>
      </c>
      <c r="E184" t="s">
        <v>164</v>
      </c>
      <c r="F184" t="s">
        <v>180</v>
      </c>
      <c r="G184" t="s">
        <v>281</v>
      </c>
      <c r="H184" t="s">
        <v>314</v>
      </c>
      <c r="I184">
        <v>2500</v>
      </c>
      <c r="J184">
        <v>2183</v>
      </c>
      <c r="K184" s="22"/>
      <c r="L184" s="22"/>
      <c r="M184" s="22"/>
      <c r="O184">
        <v>0</v>
      </c>
      <c r="P184" t="s">
        <v>111</v>
      </c>
      <c r="Q184" t="s">
        <v>99</v>
      </c>
      <c r="R184">
        <v>120000</v>
      </c>
      <c r="S184" t="s">
        <v>177</v>
      </c>
      <c r="T184">
        <v>280</v>
      </c>
      <c r="U184" s="29">
        <f>tbl_Tasks_Clean[[#This Row],[Actual_Cost]]-tbl_Tasks_Clean[[#This Row],[Planned_Cost]]</f>
        <v>-317</v>
      </c>
      <c r="V184" s="30">
        <f>IFERROR(tbl_Tasks_Clean[[#This Row],[Cost_Variance]]/tbl_Tasks_Clean[[#This Row],[Planned_Cost]],0)</f>
        <v>-0.1268</v>
      </c>
      <c r="W184" t="str">
        <f>IF(AND(tbl_Tasks_Clean[[#This Row],[Status]]="Completed",tbl_Tasks_Clean[[#This Row],[Delay_Days]]&lt;=0),"On Time",IF(AND(tbl_Tasks_Clean[[#This Row],[Status]]="Completed",tbl_Tasks_Clean[[#This Row],[Delay_Days]]&gt;0),"Late","N/A"))</f>
        <v>On Time</v>
      </c>
      <c r="X184" s="29" t="str" cm="1">
        <f t="array" ref="X184">_xlfn.IFS(tbl_Tasks_Clean[[#This Row],[Planned_Duration_Days]]&lt;=7,"Short (&lt;=7 days)",tbl_Tasks_Clean[[#This Row],[Planned_Duration_Days]]&lt;=20,"Medium (8-20 days)",TRUE,"Long (&gt;20 days)")</f>
        <v>Short (&lt;=7 days)</v>
      </c>
      <c r="Y184" s="29" t="str">
        <f>INDEX(Projects!$D:$D,MATCH(tbl_Tasks_Clean[[#This Row],[Project_ID]],Projects!$A:$A,0))</f>
        <v>Laila Samir</v>
      </c>
      <c r="Z184" s="29" t="str">
        <f>IF(tbl_Tasks_Clean[[#This Row],[Delay_Days]]&gt;0,"Delayed by "&amp;TEXT(tbl_Tasks_Clean[[#This Row],[Delay_Days]],"0")&amp;" days",IF(tbl_Tasks_Clean[[#This Row],[Delay_Days]]&lt;0,"Early by "&amp;TEXT(-tbl_Tasks_Clean[[#This Row],[Delay_Days]],"0")&amp;" days","On schedule"))</f>
        <v>On schedule</v>
      </c>
    </row>
    <row r="185" spans="1:26" x14ac:dyDescent="0.3">
      <c r="A185" t="s">
        <v>1019</v>
      </c>
      <c r="B185" t="s">
        <v>136</v>
      </c>
      <c r="C185" t="s">
        <v>137</v>
      </c>
      <c r="D185" t="s">
        <v>268</v>
      </c>
      <c r="E185" t="s">
        <v>164</v>
      </c>
      <c r="F185" t="s">
        <v>174</v>
      </c>
      <c r="G185" t="s">
        <v>250</v>
      </c>
      <c r="H185" t="s">
        <v>276</v>
      </c>
      <c r="I185">
        <v>8000</v>
      </c>
      <c r="J185">
        <v>0</v>
      </c>
      <c r="K185" s="22">
        <v>45405</v>
      </c>
      <c r="L185" s="22">
        <v>45427</v>
      </c>
      <c r="M185" s="22"/>
      <c r="N185">
        <v>22</v>
      </c>
      <c r="O185">
        <v>0</v>
      </c>
      <c r="P185" t="s">
        <v>138</v>
      </c>
      <c r="Q185" t="s">
        <v>94</v>
      </c>
      <c r="R185">
        <v>300000</v>
      </c>
      <c r="S185" t="s">
        <v>164</v>
      </c>
      <c r="T185">
        <v>220</v>
      </c>
      <c r="U185" s="29">
        <f>tbl_Tasks_Clean[[#This Row],[Actual_Cost]]-tbl_Tasks_Clean[[#This Row],[Planned_Cost]]</f>
        <v>-8000</v>
      </c>
      <c r="V185" s="30">
        <f>IFERROR(tbl_Tasks_Clean[[#This Row],[Cost_Variance]]/tbl_Tasks_Clean[[#This Row],[Planned_Cost]],0)</f>
        <v>-1</v>
      </c>
      <c r="W185" t="str">
        <f>IF(AND(tbl_Tasks_Clean[[#This Row],[Status]]="Completed",tbl_Tasks_Clean[[#This Row],[Delay_Days]]&lt;=0),"On Time",IF(AND(tbl_Tasks_Clean[[#This Row],[Status]]="Completed",tbl_Tasks_Clean[[#This Row],[Delay_Days]]&gt;0),"Late","N/A"))</f>
        <v>N/A</v>
      </c>
      <c r="X185" s="29" t="str" cm="1">
        <f t="array" ref="X185">_xlfn.IFS(tbl_Tasks_Clean[[#This Row],[Planned_Duration_Days]]&lt;=7,"Short (&lt;=7 days)",tbl_Tasks_Clean[[#This Row],[Planned_Duration_Days]]&lt;=20,"Medium (8-20 days)",TRUE,"Long (&gt;20 days)")</f>
        <v>Long (&gt;20 days)</v>
      </c>
      <c r="Y185" s="29" t="str">
        <f>INDEX(Projects!$D:$D,MATCH(tbl_Tasks_Clean[[#This Row],[Project_ID]],Projects!$A:$A,0))</f>
        <v>Ahmed Nabil</v>
      </c>
      <c r="Z185" s="29" t="str">
        <f>IF(tbl_Tasks_Clean[[#This Row],[Delay_Days]]&gt;0,"Delayed by "&amp;TEXT(tbl_Tasks_Clean[[#This Row],[Delay_Days]],"0")&amp;" days",IF(tbl_Tasks_Clean[[#This Row],[Delay_Days]]&lt;0,"Early by "&amp;TEXT(-tbl_Tasks_Clean[[#This Row],[Delay_Days]],"0")&amp;" days","On schedule"))</f>
        <v>On schedule</v>
      </c>
    </row>
    <row r="186" spans="1:26" x14ac:dyDescent="0.3">
      <c r="A186" t="s">
        <v>1022</v>
      </c>
      <c r="B186" t="s">
        <v>113</v>
      </c>
      <c r="C186" t="s">
        <v>114</v>
      </c>
      <c r="D186" t="s">
        <v>1023</v>
      </c>
      <c r="E186" t="s">
        <v>187</v>
      </c>
      <c r="F186" t="s">
        <v>163</v>
      </c>
      <c r="G186" t="s">
        <v>350</v>
      </c>
      <c r="H186" t="s">
        <v>319</v>
      </c>
      <c r="I186">
        <v>2500</v>
      </c>
      <c r="J186">
        <v>1219</v>
      </c>
      <c r="K186" s="22">
        <v>45430</v>
      </c>
      <c r="L186" s="22">
        <v>45452</v>
      </c>
      <c r="M186" s="22"/>
      <c r="N186">
        <v>22</v>
      </c>
      <c r="O186">
        <v>0</v>
      </c>
      <c r="P186" t="s">
        <v>115</v>
      </c>
      <c r="Q186" t="s">
        <v>116</v>
      </c>
      <c r="R186">
        <v>300000</v>
      </c>
      <c r="S186" t="s">
        <v>164</v>
      </c>
      <c r="T186">
        <v>180</v>
      </c>
      <c r="U186" s="29">
        <f>tbl_Tasks_Clean[[#This Row],[Actual_Cost]]-tbl_Tasks_Clean[[#This Row],[Planned_Cost]]</f>
        <v>-1281</v>
      </c>
      <c r="V186" s="30">
        <f>IFERROR(tbl_Tasks_Clean[[#This Row],[Cost_Variance]]/tbl_Tasks_Clean[[#This Row],[Planned_Cost]],0)</f>
        <v>-0.51239999999999997</v>
      </c>
      <c r="W186" t="str">
        <f>IF(AND(tbl_Tasks_Clean[[#This Row],[Status]]="Completed",tbl_Tasks_Clean[[#This Row],[Delay_Days]]&lt;=0),"On Time",IF(AND(tbl_Tasks_Clean[[#This Row],[Status]]="Completed",tbl_Tasks_Clean[[#This Row],[Delay_Days]]&gt;0),"Late","N/A"))</f>
        <v>N/A</v>
      </c>
      <c r="X186" s="29" t="str" cm="1">
        <f t="array" ref="X186">_xlfn.IFS(tbl_Tasks_Clean[[#This Row],[Planned_Duration_Days]]&lt;=7,"Short (&lt;=7 days)",tbl_Tasks_Clean[[#This Row],[Planned_Duration_Days]]&lt;=20,"Medium (8-20 days)",TRUE,"Long (&gt;20 days)")</f>
        <v>Long (&gt;20 days)</v>
      </c>
      <c r="Y186" s="29" t="str">
        <f>INDEX(Projects!$D:$D,MATCH(tbl_Tasks_Clean[[#This Row],[Project_ID]],Projects!$A:$A,0))</f>
        <v>Nourhan Tarek</v>
      </c>
      <c r="Z186" s="29" t="str">
        <f>IF(tbl_Tasks_Clean[[#This Row],[Delay_Days]]&gt;0,"Delayed by "&amp;TEXT(tbl_Tasks_Clean[[#This Row],[Delay_Days]],"0")&amp;" days",IF(tbl_Tasks_Clean[[#This Row],[Delay_Days]]&lt;0,"Early by "&amp;TEXT(-tbl_Tasks_Clean[[#This Row],[Delay_Days]],"0")&amp;" days","On schedule"))</f>
        <v>On schedule</v>
      </c>
    </row>
    <row r="187" spans="1:26" x14ac:dyDescent="0.3">
      <c r="A187" t="s">
        <v>1026</v>
      </c>
      <c r="B187" t="s">
        <v>81</v>
      </c>
      <c r="C187" t="s">
        <v>82</v>
      </c>
      <c r="D187" t="s">
        <v>1027</v>
      </c>
      <c r="E187" t="s">
        <v>1435</v>
      </c>
      <c r="F187" t="s">
        <v>214</v>
      </c>
      <c r="G187" t="s">
        <v>350</v>
      </c>
      <c r="H187" t="s">
        <v>269</v>
      </c>
      <c r="I187">
        <v>3000</v>
      </c>
      <c r="J187">
        <v>2434</v>
      </c>
      <c r="K187" s="22">
        <v>45560</v>
      </c>
      <c r="L187" s="22">
        <v>45588</v>
      </c>
      <c r="M187" s="22">
        <v>45592</v>
      </c>
      <c r="N187">
        <v>28</v>
      </c>
      <c r="O187">
        <v>4</v>
      </c>
      <c r="P187" t="s">
        <v>83</v>
      </c>
      <c r="Q187" t="s">
        <v>84</v>
      </c>
      <c r="R187">
        <v>75000</v>
      </c>
      <c r="S187" t="s">
        <v>206</v>
      </c>
      <c r="T187">
        <v>180</v>
      </c>
      <c r="U187" s="29">
        <f>tbl_Tasks_Clean[[#This Row],[Actual_Cost]]-tbl_Tasks_Clean[[#This Row],[Planned_Cost]]</f>
        <v>-566</v>
      </c>
      <c r="V187" s="30">
        <f>IFERROR(tbl_Tasks_Clean[[#This Row],[Cost_Variance]]/tbl_Tasks_Clean[[#This Row],[Planned_Cost]],0)</f>
        <v>-0.18866666666666668</v>
      </c>
      <c r="W187" t="str">
        <f>IF(AND(tbl_Tasks_Clean[[#This Row],[Status]]="Completed",tbl_Tasks_Clean[[#This Row],[Delay_Days]]&lt;=0),"On Time",IF(AND(tbl_Tasks_Clean[[#This Row],[Status]]="Completed",tbl_Tasks_Clean[[#This Row],[Delay_Days]]&gt;0),"Late","N/A"))</f>
        <v>N/A</v>
      </c>
      <c r="X187" s="29" t="str" cm="1">
        <f t="array" ref="X187">_xlfn.IFS(tbl_Tasks_Clean[[#This Row],[Planned_Duration_Days]]&lt;=7,"Short (&lt;=7 days)",tbl_Tasks_Clean[[#This Row],[Planned_Duration_Days]]&lt;=20,"Medium (8-20 days)",TRUE,"Long (&gt;20 days)")</f>
        <v>Long (&gt;20 days)</v>
      </c>
      <c r="Y187" s="29" t="str">
        <f>INDEX(Projects!$D:$D,MATCH(tbl_Tasks_Clean[[#This Row],[Project_ID]],Projects!$A:$A,0))</f>
        <v>Mona Farid</v>
      </c>
      <c r="Z187" s="29" t="str">
        <f>IF(tbl_Tasks_Clean[[#This Row],[Delay_Days]]&gt;0,"Delayed by "&amp;TEXT(tbl_Tasks_Clean[[#This Row],[Delay_Days]],"0")&amp;" days",IF(tbl_Tasks_Clean[[#This Row],[Delay_Days]]&lt;0,"Early by "&amp;TEXT(-tbl_Tasks_Clean[[#This Row],[Delay_Days]],"0")&amp;" days","On schedule"))</f>
        <v>Delayed by 4 days</v>
      </c>
    </row>
    <row r="188" spans="1:26" x14ac:dyDescent="0.3">
      <c r="A188" t="s">
        <v>1031</v>
      </c>
      <c r="B188" t="s">
        <v>118</v>
      </c>
      <c r="C188" t="s">
        <v>119</v>
      </c>
      <c r="D188" t="s">
        <v>889</v>
      </c>
      <c r="E188" t="s">
        <v>206</v>
      </c>
      <c r="F188" t="s">
        <v>155</v>
      </c>
      <c r="G188" t="s">
        <v>250</v>
      </c>
      <c r="H188" t="s">
        <v>287</v>
      </c>
      <c r="I188">
        <v>6000</v>
      </c>
      <c r="J188">
        <v>4296</v>
      </c>
      <c r="K188" s="22">
        <v>45398</v>
      </c>
      <c r="L188" s="22">
        <v>45420</v>
      </c>
      <c r="M188" s="22"/>
      <c r="N188">
        <v>22</v>
      </c>
      <c r="O188">
        <v>0</v>
      </c>
      <c r="P188" t="s">
        <v>120</v>
      </c>
      <c r="Q188" t="s">
        <v>99</v>
      </c>
      <c r="R188">
        <v>100000</v>
      </c>
      <c r="S188" t="s">
        <v>150</v>
      </c>
      <c r="T188">
        <v>280</v>
      </c>
      <c r="U188" s="29">
        <f>tbl_Tasks_Clean[[#This Row],[Actual_Cost]]-tbl_Tasks_Clean[[#This Row],[Planned_Cost]]</f>
        <v>-1704</v>
      </c>
      <c r="V188" s="30">
        <f>IFERROR(tbl_Tasks_Clean[[#This Row],[Cost_Variance]]/tbl_Tasks_Clean[[#This Row],[Planned_Cost]],0)</f>
        <v>-0.28399999999999997</v>
      </c>
      <c r="W188" t="str">
        <f>IF(AND(tbl_Tasks_Clean[[#This Row],[Status]]="Completed",tbl_Tasks_Clean[[#This Row],[Delay_Days]]&lt;=0),"On Time",IF(AND(tbl_Tasks_Clean[[#This Row],[Status]]="Completed",tbl_Tasks_Clean[[#This Row],[Delay_Days]]&gt;0),"Late","N/A"))</f>
        <v>N/A</v>
      </c>
      <c r="X188" s="29" t="str" cm="1">
        <f t="array" ref="X188">_xlfn.IFS(tbl_Tasks_Clean[[#This Row],[Planned_Duration_Days]]&lt;=7,"Short (&lt;=7 days)",tbl_Tasks_Clean[[#This Row],[Planned_Duration_Days]]&lt;=20,"Medium (8-20 days)",TRUE,"Long (&gt;20 days)")</f>
        <v>Long (&gt;20 days)</v>
      </c>
      <c r="Y188" s="29" t="str">
        <f>INDEX(Projects!$D:$D,MATCH(tbl_Tasks_Clean[[#This Row],[Project_ID]],Projects!$A:$A,0))</f>
        <v>Laila Samir</v>
      </c>
      <c r="Z188" s="29" t="str">
        <f>IF(tbl_Tasks_Clean[[#This Row],[Delay_Days]]&gt;0,"Delayed by "&amp;TEXT(tbl_Tasks_Clean[[#This Row],[Delay_Days]],"0")&amp;" days",IF(tbl_Tasks_Clean[[#This Row],[Delay_Days]]&lt;0,"Early by "&amp;TEXT(-tbl_Tasks_Clean[[#This Row],[Delay_Days]],"0")&amp;" days","On schedule"))</f>
        <v>On schedule</v>
      </c>
    </row>
    <row r="189" spans="1:26" x14ac:dyDescent="0.3">
      <c r="A189" t="s">
        <v>1034</v>
      </c>
      <c r="B189" t="s">
        <v>133</v>
      </c>
      <c r="C189" t="s">
        <v>134</v>
      </c>
      <c r="D189" t="s">
        <v>1035</v>
      </c>
      <c r="E189" t="s">
        <v>187</v>
      </c>
      <c r="F189" t="s">
        <v>218</v>
      </c>
      <c r="G189" t="s">
        <v>250</v>
      </c>
      <c r="H189" t="s">
        <v>287</v>
      </c>
      <c r="I189">
        <v>3000</v>
      </c>
      <c r="J189">
        <v>993</v>
      </c>
      <c r="K189" s="22">
        <v>45467</v>
      </c>
      <c r="L189" s="22">
        <v>45481</v>
      </c>
      <c r="M189" s="22"/>
      <c r="N189">
        <v>14</v>
      </c>
      <c r="O189">
        <v>0</v>
      </c>
      <c r="P189" t="s">
        <v>111</v>
      </c>
      <c r="Q189" t="s">
        <v>116</v>
      </c>
      <c r="R189">
        <v>200000</v>
      </c>
      <c r="S189" t="s">
        <v>219</v>
      </c>
      <c r="T189">
        <v>250</v>
      </c>
      <c r="U189" s="29">
        <f>tbl_Tasks_Clean[[#This Row],[Actual_Cost]]-tbl_Tasks_Clean[[#This Row],[Planned_Cost]]</f>
        <v>-2007</v>
      </c>
      <c r="V189" s="30">
        <f>IFERROR(tbl_Tasks_Clean[[#This Row],[Cost_Variance]]/tbl_Tasks_Clean[[#This Row],[Planned_Cost]],0)</f>
        <v>-0.66900000000000004</v>
      </c>
      <c r="W189" t="str">
        <f>IF(AND(tbl_Tasks_Clean[[#This Row],[Status]]="Completed",tbl_Tasks_Clean[[#This Row],[Delay_Days]]&lt;=0),"On Time",IF(AND(tbl_Tasks_Clean[[#This Row],[Status]]="Completed",tbl_Tasks_Clean[[#This Row],[Delay_Days]]&gt;0),"Late","N/A"))</f>
        <v>N/A</v>
      </c>
      <c r="X189" s="29" t="str" cm="1">
        <f t="array" ref="X189">_xlfn.IFS(tbl_Tasks_Clean[[#This Row],[Planned_Duration_Days]]&lt;=7,"Short (&lt;=7 days)",tbl_Tasks_Clean[[#This Row],[Planned_Duration_Days]]&lt;=20,"Medium (8-20 days)",TRUE,"Long (&gt;20 days)")</f>
        <v>Medium (8-20 days)</v>
      </c>
      <c r="Y189" s="29" t="str">
        <f>INDEX(Projects!$D:$D,MATCH(tbl_Tasks_Clean[[#This Row],[Project_ID]],Projects!$A:$A,0))</f>
        <v>Nourhan Tarek</v>
      </c>
      <c r="Z189" s="29" t="str">
        <f>IF(tbl_Tasks_Clean[[#This Row],[Delay_Days]]&gt;0,"Delayed by "&amp;TEXT(tbl_Tasks_Clean[[#This Row],[Delay_Days]],"0")&amp;" days",IF(tbl_Tasks_Clean[[#This Row],[Delay_Days]]&lt;0,"Early by "&amp;TEXT(-tbl_Tasks_Clean[[#This Row],[Delay_Days]],"0")&amp;" days","On schedule"))</f>
        <v>On schedule</v>
      </c>
    </row>
    <row r="190" spans="1:26" x14ac:dyDescent="0.3">
      <c r="A190" t="s">
        <v>1038</v>
      </c>
      <c r="B190" t="s">
        <v>105</v>
      </c>
      <c r="C190" t="s">
        <v>106</v>
      </c>
      <c r="D190" t="s">
        <v>638</v>
      </c>
      <c r="E190" t="s">
        <v>164</v>
      </c>
      <c r="F190" t="s">
        <v>161</v>
      </c>
      <c r="G190" t="s">
        <v>1443</v>
      </c>
      <c r="H190" t="s">
        <v>314</v>
      </c>
      <c r="I190">
        <v>10000</v>
      </c>
      <c r="J190">
        <v>8274</v>
      </c>
      <c r="K190" s="22">
        <v>45435</v>
      </c>
      <c r="L190" s="22">
        <v>45442</v>
      </c>
      <c r="M190" s="22">
        <v>45443</v>
      </c>
      <c r="N190">
        <v>7</v>
      </c>
      <c r="O190">
        <v>1</v>
      </c>
      <c r="P190" t="s">
        <v>107</v>
      </c>
      <c r="Q190" t="s">
        <v>84</v>
      </c>
      <c r="R190">
        <v>120000</v>
      </c>
      <c r="S190" t="s">
        <v>150</v>
      </c>
      <c r="T190">
        <v>220</v>
      </c>
      <c r="U190" s="29">
        <f>tbl_Tasks_Clean[[#This Row],[Actual_Cost]]-tbl_Tasks_Clean[[#This Row],[Planned_Cost]]</f>
        <v>-1726</v>
      </c>
      <c r="V190" s="30">
        <f>IFERROR(tbl_Tasks_Clean[[#This Row],[Cost_Variance]]/tbl_Tasks_Clean[[#This Row],[Planned_Cost]],0)</f>
        <v>-0.1726</v>
      </c>
      <c r="W190" t="str">
        <f>IF(AND(tbl_Tasks_Clean[[#This Row],[Status]]="Completed",tbl_Tasks_Clean[[#This Row],[Delay_Days]]&lt;=0),"On Time",IF(AND(tbl_Tasks_Clean[[#This Row],[Status]]="Completed",tbl_Tasks_Clean[[#This Row],[Delay_Days]]&gt;0),"Late","N/A"))</f>
        <v>Late</v>
      </c>
      <c r="X190" s="29" t="str" cm="1">
        <f t="array" ref="X190">_xlfn.IFS(tbl_Tasks_Clean[[#This Row],[Planned_Duration_Days]]&lt;=7,"Short (&lt;=7 days)",tbl_Tasks_Clean[[#This Row],[Planned_Duration_Days]]&lt;=20,"Medium (8-20 days)",TRUE,"Long (&gt;20 days)")</f>
        <v>Short (&lt;=7 days)</v>
      </c>
      <c r="Y190" s="29" t="str">
        <f>INDEX(Projects!$D:$D,MATCH(tbl_Tasks_Clean[[#This Row],[Project_ID]],Projects!$A:$A,0))</f>
        <v>Mona Farid</v>
      </c>
      <c r="Z190" s="29" t="str">
        <f>IF(tbl_Tasks_Clean[[#This Row],[Delay_Days]]&gt;0,"Delayed by "&amp;TEXT(tbl_Tasks_Clean[[#This Row],[Delay_Days]],"0")&amp;" days",IF(tbl_Tasks_Clean[[#This Row],[Delay_Days]]&lt;0,"Early by "&amp;TEXT(-tbl_Tasks_Clean[[#This Row],[Delay_Days]],"0")&amp;" days","On schedule"))</f>
        <v>Delayed by 1 days</v>
      </c>
    </row>
    <row r="191" spans="1:26" x14ac:dyDescent="0.3">
      <c r="A191" t="s">
        <v>1041</v>
      </c>
      <c r="B191" t="s">
        <v>140</v>
      </c>
      <c r="C191" t="s">
        <v>141</v>
      </c>
      <c r="D191" t="s">
        <v>677</v>
      </c>
      <c r="E191" t="s">
        <v>187</v>
      </c>
      <c r="F191" t="s">
        <v>200</v>
      </c>
      <c r="G191" t="s">
        <v>281</v>
      </c>
      <c r="H191" t="s">
        <v>319</v>
      </c>
      <c r="I191">
        <v>2000</v>
      </c>
      <c r="J191">
        <v>460</v>
      </c>
      <c r="K191" s="22">
        <v>45470</v>
      </c>
      <c r="L191" s="22">
        <v>45473</v>
      </c>
      <c r="M191" s="22"/>
      <c r="N191">
        <v>3</v>
      </c>
      <c r="O191">
        <v>0</v>
      </c>
      <c r="P191" t="s">
        <v>111</v>
      </c>
      <c r="Q191" t="s">
        <v>116</v>
      </c>
      <c r="R191">
        <v>75000</v>
      </c>
      <c r="S191" t="s">
        <v>197</v>
      </c>
      <c r="T191">
        <v>150</v>
      </c>
      <c r="U191" s="29">
        <f>tbl_Tasks_Clean[[#This Row],[Actual_Cost]]-tbl_Tasks_Clean[[#This Row],[Planned_Cost]]</f>
        <v>-1540</v>
      </c>
      <c r="V191" s="30">
        <f>IFERROR(tbl_Tasks_Clean[[#This Row],[Cost_Variance]]/tbl_Tasks_Clean[[#This Row],[Planned_Cost]],0)</f>
        <v>-0.77</v>
      </c>
      <c r="W191" t="str">
        <f>IF(AND(tbl_Tasks_Clean[[#This Row],[Status]]="Completed",tbl_Tasks_Clean[[#This Row],[Delay_Days]]&lt;=0),"On Time",IF(AND(tbl_Tasks_Clean[[#This Row],[Status]]="Completed",tbl_Tasks_Clean[[#This Row],[Delay_Days]]&gt;0),"Late","N/A"))</f>
        <v>N/A</v>
      </c>
      <c r="X191" s="29" t="str" cm="1">
        <f t="array" ref="X191">_xlfn.IFS(tbl_Tasks_Clean[[#This Row],[Planned_Duration_Days]]&lt;=7,"Short (&lt;=7 days)",tbl_Tasks_Clean[[#This Row],[Planned_Duration_Days]]&lt;=20,"Medium (8-20 days)",TRUE,"Long (&gt;20 days)")</f>
        <v>Short (&lt;=7 days)</v>
      </c>
      <c r="Y191" s="29" t="str">
        <f>INDEX(Projects!$D:$D,MATCH(tbl_Tasks_Clean[[#This Row],[Project_ID]],Projects!$A:$A,0))</f>
        <v>Nourhan Tarek</v>
      </c>
      <c r="Z191" s="29" t="str">
        <f>IF(tbl_Tasks_Clean[[#This Row],[Delay_Days]]&gt;0,"Delayed by "&amp;TEXT(tbl_Tasks_Clean[[#This Row],[Delay_Days]],"0")&amp;" days",IF(tbl_Tasks_Clean[[#This Row],[Delay_Days]]&lt;0,"Early by "&amp;TEXT(-tbl_Tasks_Clean[[#This Row],[Delay_Days]],"0")&amp;" days","On schedule"))</f>
        <v>On schedule</v>
      </c>
    </row>
    <row r="192" spans="1:26" x14ac:dyDescent="0.3">
      <c r="A192" t="s">
        <v>1044</v>
      </c>
      <c r="B192" t="s">
        <v>109</v>
      </c>
      <c r="C192" t="s">
        <v>110</v>
      </c>
      <c r="D192" t="s">
        <v>1045</v>
      </c>
      <c r="E192" t="s">
        <v>177</v>
      </c>
      <c r="F192" t="s">
        <v>176</v>
      </c>
      <c r="G192" t="s">
        <v>281</v>
      </c>
      <c r="H192" t="s">
        <v>319</v>
      </c>
      <c r="I192">
        <v>6000</v>
      </c>
      <c r="J192">
        <v>3942</v>
      </c>
      <c r="K192" s="22"/>
      <c r="L192" s="22"/>
      <c r="M192" s="22"/>
      <c r="O192">
        <v>0</v>
      </c>
      <c r="P192" t="s">
        <v>111</v>
      </c>
      <c r="Q192" t="s">
        <v>99</v>
      </c>
      <c r="R192">
        <v>120000</v>
      </c>
      <c r="S192" t="s">
        <v>177</v>
      </c>
      <c r="T192">
        <v>250</v>
      </c>
      <c r="U192" s="29">
        <f>tbl_Tasks_Clean[[#This Row],[Actual_Cost]]-tbl_Tasks_Clean[[#This Row],[Planned_Cost]]</f>
        <v>-2058</v>
      </c>
      <c r="V192" s="30">
        <f>IFERROR(tbl_Tasks_Clean[[#This Row],[Cost_Variance]]/tbl_Tasks_Clean[[#This Row],[Planned_Cost]],0)</f>
        <v>-0.34300000000000003</v>
      </c>
      <c r="W192" t="str">
        <f>IF(AND(tbl_Tasks_Clean[[#This Row],[Status]]="Completed",tbl_Tasks_Clean[[#This Row],[Delay_Days]]&lt;=0),"On Time",IF(AND(tbl_Tasks_Clean[[#This Row],[Status]]="Completed",tbl_Tasks_Clean[[#This Row],[Delay_Days]]&gt;0),"Late","N/A"))</f>
        <v>N/A</v>
      </c>
      <c r="X192" s="29" t="str" cm="1">
        <f t="array" ref="X192">_xlfn.IFS(tbl_Tasks_Clean[[#This Row],[Planned_Duration_Days]]&lt;=7,"Short (&lt;=7 days)",tbl_Tasks_Clean[[#This Row],[Planned_Duration_Days]]&lt;=20,"Medium (8-20 days)",TRUE,"Long (&gt;20 days)")</f>
        <v>Short (&lt;=7 days)</v>
      </c>
      <c r="Y192" s="29" t="str">
        <f>INDEX(Projects!$D:$D,MATCH(tbl_Tasks_Clean[[#This Row],[Project_ID]],Projects!$A:$A,0))</f>
        <v>Laila Samir</v>
      </c>
      <c r="Z192" s="29" t="str">
        <f>IF(tbl_Tasks_Clean[[#This Row],[Delay_Days]]&gt;0,"Delayed by "&amp;TEXT(tbl_Tasks_Clean[[#This Row],[Delay_Days]],"0")&amp;" days",IF(tbl_Tasks_Clean[[#This Row],[Delay_Days]]&lt;0,"Early by "&amp;TEXT(-tbl_Tasks_Clean[[#This Row],[Delay_Days]],"0")&amp;" days","On schedule"))</f>
        <v>On schedule</v>
      </c>
    </row>
    <row r="193" spans="1:26" x14ac:dyDescent="0.3">
      <c r="A193" t="s">
        <v>305</v>
      </c>
      <c r="B193" t="s">
        <v>101</v>
      </c>
      <c r="C193" t="s">
        <v>102</v>
      </c>
      <c r="D193" t="s">
        <v>306</v>
      </c>
      <c r="E193" t="s">
        <v>187</v>
      </c>
      <c r="F193" t="s">
        <v>161</v>
      </c>
      <c r="G193" t="s">
        <v>281</v>
      </c>
      <c r="H193" t="s">
        <v>314</v>
      </c>
      <c r="I193">
        <v>3000</v>
      </c>
      <c r="J193">
        <v>2553</v>
      </c>
      <c r="K193" s="22">
        <v>45301</v>
      </c>
      <c r="L193" s="22">
        <v>45306</v>
      </c>
      <c r="M193" s="22">
        <v>45303</v>
      </c>
      <c r="N193">
        <v>5</v>
      </c>
      <c r="O193">
        <v>-3</v>
      </c>
      <c r="P193" t="s">
        <v>103</v>
      </c>
      <c r="Q193" t="s">
        <v>94</v>
      </c>
      <c r="R193">
        <v>50000</v>
      </c>
      <c r="S193" t="s">
        <v>150</v>
      </c>
      <c r="T193">
        <v>220</v>
      </c>
      <c r="U193" s="29">
        <f>tbl_Tasks_Clean[[#This Row],[Actual_Cost]]-tbl_Tasks_Clean[[#This Row],[Planned_Cost]]</f>
        <v>-447</v>
      </c>
      <c r="V193" s="30">
        <f>IFERROR(tbl_Tasks_Clean[[#This Row],[Cost_Variance]]/tbl_Tasks_Clean[[#This Row],[Planned_Cost]],0)</f>
        <v>-0.14899999999999999</v>
      </c>
      <c r="W193" t="str">
        <f>IF(AND(tbl_Tasks_Clean[[#This Row],[Status]]="Completed",tbl_Tasks_Clean[[#This Row],[Delay_Days]]&lt;=0),"On Time",IF(AND(tbl_Tasks_Clean[[#This Row],[Status]]="Completed",tbl_Tasks_Clean[[#This Row],[Delay_Days]]&gt;0),"Late","N/A"))</f>
        <v>On Time</v>
      </c>
      <c r="X193" s="29" t="str" cm="1">
        <f t="array" ref="X193">_xlfn.IFS(tbl_Tasks_Clean[[#This Row],[Planned_Duration_Days]]&lt;=7,"Short (&lt;=7 days)",tbl_Tasks_Clean[[#This Row],[Planned_Duration_Days]]&lt;=20,"Medium (8-20 days)",TRUE,"Long (&gt;20 days)")</f>
        <v>Short (&lt;=7 days)</v>
      </c>
      <c r="Y193" s="29" t="str">
        <f>INDEX(Projects!$D:$D,MATCH(tbl_Tasks_Clean[[#This Row],[Project_ID]],Projects!$A:$A,0))</f>
        <v>Ahmed Nabil</v>
      </c>
      <c r="Z193" s="29" t="str">
        <f>IF(tbl_Tasks_Clean[[#This Row],[Delay_Days]]&gt;0,"Delayed by "&amp;TEXT(tbl_Tasks_Clean[[#This Row],[Delay_Days]],"0")&amp;" days",IF(tbl_Tasks_Clean[[#This Row],[Delay_Days]]&lt;0,"Early by "&amp;TEXT(-tbl_Tasks_Clean[[#This Row],[Delay_Days]],"0")&amp;" days","On schedule"))</f>
        <v>Early by 3 days</v>
      </c>
    </row>
    <row r="194" spans="1:26" x14ac:dyDescent="0.3">
      <c r="A194" t="s">
        <v>1046</v>
      </c>
      <c r="B194" t="s">
        <v>81</v>
      </c>
      <c r="C194" t="s">
        <v>82</v>
      </c>
      <c r="D194" t="s">
        <v>1047</v>
      </c>
      <c r="E194" t="s">
        <v>1435</v>
      </c>
      <c r="F194" t="s">
        <v>155</v>
      </c>
      <c r="G194" t="s">
        <v>350</v>
      </c>
      <c r="H194" t="s">
        <v>287</v>
      </c>
      <c r="I194">
        <v>4000</v>
      </c>
      <c r="J194">
        <v>1469</v>
      </c>
      <c r="K194" s="22">
        <v>45504</v>
      </c>
      <c r="L194" s="22">
        <v>45519</v>
      </c>
      <c r="M194" s="22"/>
      <c r="N194">
        <v>15</v>
      </c>
      <c r="O194">
        <v>0</v>
      </c>
      <c r="P194" t="s">
        <v>83</v>
      </c>
      <c r="Q194" t="s">
        <v>84</v>
      </c>
      <c r="R194">
        <v>75000</v>
      </c>
      <c r="S194" t="s">
        <v>150</v>
      </c>
      <c r="T194">
        <v>280</v>
      </c>
      <c r="U194" s="29">
        <f>tbl_Tasks_Clean[[#This Row],[Actual_Cost]]-tbl_Tasks_Clean[[#This Row],[Planned_Cost]]</f>
        <v>-2531</v>
      </c>
      <c r="V194" s="30">
        <f>IFERROR(tbl_Tasks_Clean[[#This Row],[Cost_Variance]]/tbl_Tasks_Clean[[#This Row],[Planned_Cost]],0)</f>
        <v>-0.63275000000000003</v>
      </c>
      <c r="W194" t="str">
        <f>IF(AND(tbl_Tasks_Clean[[#This Row],[Status]]="Completed",tbl_Tasks_Clean[[#This Row],[Delay_Days]]&lt;=0),"On Time",IF(AND(tbl_Tasks_Clean[[#This Row],[Status]]="Completed",tbl_Tasks_Clean[[#This Row],[Delay_Days]]&gt;0),"Late","N/A"))</f>
        <v>N/A</v>
      </c>
      <c r="X194" s="29" t="str" cm="1">
        <f t="array" ref="X194">_xlfn.IFS(tbl_Tasks_Clean[[#This Row],[Planned_Duration_Days]]&lt;=7,"Short (&lt;=7 days)",tbl_Tasks_Clean[[#This Row],[Planned_Duration_Days]]&lt;=20,"Medium (8-20 days)",TRUE,"Long (&gt;20 days)")</f>
        <v>Medium (8-20 days)</v>
      </c>
      <c r="Y194" s="29" t="str">
        <f>INDEX(Projects!$D:$D,MATCH(tbl_Tasks_Clean[[#This Row],[Project_ID]],Projects!$A:$A,0))</f>
        <v>Mona Farid</v>
      </c>
      <c r="Z194" s="29" t="str">
        <f>IF(tbl_Tasks_Clean[[#This Row],[Delay_Days]]&gt;0,"Delayed by "&amp;TEXT(tbl_Tasks_Clean[[#This Row],[Delay_Days]],"0")&amp;" days",IF(tbl_Tasks_Clean[[#This Row],[Delay_Days]]&lt;0,"Early by "&amp;TEXT(-tbl_Tasks_Clean[[#This Row],[Delay_Days]],"0")&amp;" days","On schedule"))</f>
        <v>On schedule</v>
      </c>
    </row>
    <row r="195" spans="1:26" x14ac:dyDescent="0.3">
      <c r="A195" t="s">
        <v>1050</v>
      </c>
      <c r="B195" t="s">
        <v>113</v>
      </c>
      <c r="C195" t="s">
        <v>114</v>
      </c>
      <c r="D195" t="s">
        <v>974</v>
      </c>
      <c r="E195" t="s">
        <v>164</v>
      </c>
      <c r="F195" t="s">
        <v>214</v>
      </c>
      <c r="G195" t="s">
        <v>350</v>
      </c>
      <c r="H195" t="s">
        <v>314</v>
      </c>
      <c r="I195">
        <v>3000</v>
      </c>
      <c r="J195">
        <v>2194</v>
      </c>
      <c r="K195" s="22">
        <v>45463</v>
      </c>
      <c r="L195" s="22">
        <v>45476</v>
      </c>
      <c r="M195" s="22">
        <v>45473</v>
      </c>
      <c r="N195">
        <v>13</v>
      </c>
      <c r="O195">
        <v>-3</v>
      </c>
      <c r="P195" t="s">
        <v>115</v>
      </c>
      <c r="Q195" t="s">
        <v>116</v>
      </c>
      <c r="R195">
        <v>300000</v>
      </c>
      <c r="S195" t="s">
        <v>206</v>
      </c>
      <c r="T195">
        <v>180</v>
      </c>
      <c r="U195" s="29">
        <f>tbl_Tasks_Clean[[#This Row],[Actual_Cost]]-tbl_Tasks_Clean[[#This Row],[Planned_Cost]]</f>
        <v>-806</v>
      </c>
      <c r="V195" s="30">
        <f>IFERROR(tbl_Tasks_Clean[[#This Row],[Cost_Variance]]/tbl_Tasks_Clean[[#This Row],[Planned_Cost]],0)</f>
        <v>-0.26866666666666666</v>
      </c>
      <c r="W195" t="str">
        <f>IF(AND(tbl_Tasks_Clean[[#This Row],[Status]]="Completed",tbl_Tasks_Clean[[#This Row],[Delay_Days]]&lt;=0),"On Time",IF(AND(tbl_Tasks_Clean[[#This Row],[Status]]="Completed",tbl_Tasks_Clean[[#This Row],[Delay_Days]]&gt;0),"Late","N/A"))</f>
        <v>On Time</v>
      </c>
      <c r="X195" s="29" t="str" cm="1">
        <f t="array" ref="X195">_xlfn.IFS(tbl_Tasks_Clean[[#This Row],[Planned_Duration_Days]]&lt;=7,"Short (&lt;=7 days)",tbl_Tasks_Clean[[#This Row],[Planned_Duration_Days]]&lt;=20,"Medium (8-20 days)",TRUE,"Long (&gt;20 days)")</f>
        <v>Medium (8-20 days)</v>
      </c>
      <c r="Y195" s="29" t="str">
        <f>INDEX(Projects!$D:$D,MATCH(tbl_Tasks_Clean[[#This Row],[Project_ID]],Projects!$A:$A,0))</f>
        <v>Nourhan Tarek</v>
      </c>
      <c r="Z195" s="29" t="str">
        <f>IF(tbl_Tasks_Clean[[#This Row],[Delay_Days]]&gt;0,"Delayed by "&amp;TEXT(tbl_Tasks_Clean[[#This Row],[Delay_Days]],"0")&amp;" days",IF(tbl_Tasks_Clean[[#This Row],[Delay_Days]]&lt;0,"Early by "&amp;TEXT(-tbl_Tasks_Clean[[#This Row],[Delay_Days]],"0")&amp;" days","On schedule"))</f>
        <v>Early by 3 days</v>
      </c>
    </row>
    <row r="196" spans="1:26" x14ac:dyDescent="0.3">
      <c r="A196" t="s">
        <v>1052</v>
      </c>
      <c r="B196" t="s">
        <v>86</v>
      </c>
      <c r="C196" t="s">
        <v>87</v>
      </c>
      <c r="D196" t="s">
        <v>1053</v>
      </c>
      <c r="E196" t="s">
        <v>150</v>
      </c>
      <c r="F196" t="s">
        <v>169</v>
      </c>
      <c r="G196" t="s">
        <v>350</v>
      </c>
      <c r="H196" t="s">
        <v>276</v>
      </c>
      <c r="I196">
        <v>1000</v>
      </c>
      <c r="J196">
        <v>0</v>
      </c>
      <c r="K196" s="22"/>
      <c r="L196" s="22"/>
      <c r="M196" s="22"/>
      <c r="O196">
        <v>0</v>
      </c>
      <c r="P196" t="s">
        <v>88</v>
      </c>
      <c r="Q196" t="s">
        <v>89</v>
      </c>
      <c r="R196">
        <v>150000</v>
      </c>
      <c r="S196" t="s">
        <v>164</v>
      </c>
      <c r="T196">
        <v>200</v>
      </c>
      <c r="U196" s="29">
        <f>tbl_Tasks_Clean[[#This Row],[Actual_Cost]]-tbl_Tasks_Clean[[#This Row],[Planned_Cost]]</f>
        <v>-1000</v>
      </c>
      <c r="V196" s="30">
        <f>IFERROR(tbl_Tasks_Clean[[#This Row],[Cost_Variance]]/tbl_Tasks_Clean[[#This Row],[Planned_Cost]],0)</f>
        <v>-1</v>
      </c>
      <c r="W196" t="str">
        <f>IF(AND(tbl_Tasks_Clean[[#This Row],[Status]]="Completed",tbl_Tasks_Clean[[#This Row],[Delay_Days]]&lt;=0),"On Time",IF(AND(tbl_Tasks_Clean[[#This Row],[Status]]="Completed",tbl_Tasks_Clean[[#This Row],[Delay_Days]]&gt;0),"Late","N/A"))</f>
        <v>N/A</v>
      </c>
      <c r="X196" s="29" t="str" cm="1">
        <f t="array" ref="X196">_xlfn.IFS(tbl_Tasks_Clean[[#This Row],[Planned_Duration_Days]]&lt;=7,"Short (&lt;=7 days)",tbl_Tasks_Clean[[#This Row],[Planned_Duration_Days]]&lt;=20,"Medium (8-20 days)",TRUE,"Long (&gt;20 days)")</f>
        <v>Short (&lt;=7 days)</v>
      </c>
      <c r="Y196" s="29" t="str">
        <f>INDEX(Projects!$D:$D,MATCH(tbl_Tasks_Clean[[#This Row],[Project_ID]],Projects!$A:$A,0))</f>
        <v>Youssef Adel</v>
      </c>
      <c r="Z196" s="29" t="str">
        <f>IF(tbl_Tasks_Clean[[#This Row],[Delay_Days]]&gt;0,"Delayed by "&amp;TEXT(tbl_Tasks_Clean[[#This Row],[Delay_Days]],"0")&amp;" days",IF(tbl_Tasks_Clean[[#This Row],[Delay_Days]]&lt;0,"Early by "&amp;TEXT(-tbl_Tasks_Clean[[#This Row],[Delay_Days]],"0")&amp;" days","On schedule"))</f>
        <v>On schedule</v>
      </c>
    </row>
    <row r="197" spans="1:26" x14ac:dyDescent="0.3">
      <c r="A197" t="s">
        <v>1055</v>
      </c>
      <c r="B197" t="s">
        <v>136</v>
      </c>
      <c r="C197" t="s">
        <v>137</v>
      </c>
      <c r="D197" t="s">
        <v>782</v>
      </c>
      <c r="E197" t="s">
        <v>177</v>
      </c>
      <c r="F197" t="s">
        <v>212</v>
      </c>
      <c r="G197" t="s">
        <v>250</v>
      </c>
      <c r="H197" t="s">
        <v>287</v>
      </c>
      <c r="I197">
        <v>2000</v>
      </c>
      <c r="J197">
        <v>1426</v>
      </c>
      <c r="K197" s="22">
        <v>45404</v>
      </c>
      <c r="L197" s="22">
        <v>45430</v>
      </c>
      <c r="M197" s="22"/>
      <c r="N197">
        <v>26</v>
      </c>
      <c r="O197">
        <v>0</v>
      </c>
      <c r="P197" t="s">
        <v>138</v>
      </c>
      <c r="Q197" t="s">
        <v>94</v>
      </c>
      <c r="R197">
        <v>300000</v>
      </c>
      <c r="S197" t="s">
        <v>206</v>
      </c>
      <c r="T197">
        <v>180</v>
      </c>
      <c r="U197" s="29">
        <f>tbl_Tasks_Clean[[#This Row],[Actual_Cost]]-tbl_Tasks_Clean[[#This Row],[Planned_Cost]]</f>
        <v>-574</v>
      </c>
      <c r="V197" s="30">
        <f>IFERROR(tbl_Tasks_Clean[[#This Row],[Cost_Variance]]/tbl_Tasks_Clean[[#This Row],[Planned_Cost]],0)</f>
        <v>-0.28699999999999998</v>
      </c>
      <c r="W197" t="str">
        <f>IF(AND(tbl_Tasks_Clean[[#This Row],[Status]]="Completed",tbl_Tasks_Clean[[#This Row],[Delay_Days]]&lt;=0),"On Time",IF(AND(tbl_Tasks_Clean[[#This Row],[Status]]="Completed",tbl_Tasks_Clean[[#This Row],[Delay_Days]]&gt;0),"Late","N/A"))</f>
        <v>N/A</v>
      </c>
      <c r="X197" s="29" t="str" cm="1">
        <f t="array" ref="X197">_xlfn.IFS(tbl_Tasks_Clean[[#This Row],[Planned_Duration_Days]]&lt;=7,"Short (&lt;=7 days)",tbl_Tasks_Clean[[#This Row],[Planned_Duration_Days]]&lt;=20,"Medium (8-20 days)",TRUE,"Long (&gt;20 days)")</f>
        <v>Long (&gt;20 days)</v>
      </c>
      <c r="Y197" s="29" t="str">
        <f>INDEX(Projects!$D:$D,MATCH(tbl_Tasks_Clean[[#This Row],[Project_ID]],Projects!$A:$A,0))</f>
        <v>Ahmed Nabil</v>
      </c>
      <c r="Z197" s="29" t="str">
        <f>IF(tbl_Tasks_Clean[[#This Row],[Delay_Days]]&gt;0,"Delayed by "&amp;TEXT(tbl_Tasks_Clean[[#This Row],[Delay_Days]],"0")&amp;" days",IF(tbl_Tasks_Clean[[#This Row],[Delay_Days]]&lt;0,"Early by "&amp;TEXT(-tbl_Tasks_Clean[[#This Row],[Delay_Days]],"0")&amp;" days","On schedule"))</f>
        <v>On schedule</v>
      </c>
    </row>
    <row r="198" spans="1:26" x14ac:dyDescent="0.3">
      <c r="A198" t="s">
        <v>1057</v>
      </c>
      <c r="B198" t="s">
        <v>126</v>
      </c>
      <c r="C198" t="s">
        <v>127</v>
      </c>
      <c r="D198" t="s">
        <v>1058</v>
      </c>
      <c r="E198" t="s">
        <v>197</v>
      </c>
      <c r="F198" t="s">
        <v>193</v>
      </c>
      <c r="G198" t="s">
        <v>350</v>
      </c>
      <c r="H198" t="s">
        <v>487</v>
      </c>
      <c r="I198">
        <v>3000</v>
      </c>
      <c r="J198">
        <v>2904</v>
      </c>
      <c r="K198" s="22">
        <v>45484</v>
      </c>
      <c r="L198" s="22">
        <v>45498</v>
      </c>
      <c r="M198" s="22">
        <v>45508</v>
      </c>
      <c r="N198">
        <v>14</v>
      </c>
      <c r="O198">
        <v>10</v>
      </c>
      <c r="P198" t="s">
        <v>128</v>
      </c>
      <c r="Q198" t="s">
        <v>94</v>
      </c>
      <c r="R198">
        <v>200000</v>
      </c>
      <c r="S198" t="s">
        <v>187</v>
      </c>
      <c r="T198">
        <v>300</v>
      </c>
      <c r="U198" s="29">
        <f>tbl_Tasks_Clean[[#This Row],[Actual_Cost]]-tbl_Tasks_Clean[[#This Row],[Planned_Cost]]</f>
        <v>-96</v>
      </c>
      <c r="V198" s="30">
        <f>IFERROR(tbl_Tasks_Clean[[#This Row],[Cost_Variance]]/tbl_Tasks_Clean[[#This Row],[Planned_Cost]],0)</f>
        <v>-3.2000000000000001E-2</v>
      </c>
      <c r="W198" t="str">
        <f>IF(AND(tbl_Tasks_Clean[[#This Row],[Status]]="Completed",tbl_Tasks_Clean[[#This Row],[Delay_Days]]&lt;=0),"On Time",IF(AND(tbl_Tasks_Clean[[#This Row],[Status]]="Completed",tbl_Tasks_Clean[[#This Row],[Delay_Days]]&gt;0),"Late","N/A"))</f>
        <v>N/A</v>
      </c>
      <c r="X198" s="29" t="str" cm="1">
        <f t="array" ref="X198">_xlfn.IFS(tbl_Tasks_Clean[[#This Row],[Planned_Duration_Days]]&lt;=7,"Short (&lt;=7 days)",tbl_Tasks_Clean[[#This Row],[Planned_Duration_Days]]&lt;=20,"Medium (8-20 days)",TRUE,"Long (&gt;20 days)")</f>
        <v>Medium (8-20 days)</v>
      </c>
      <c r="Y198" s="29" t="str">
        <f>INDEX(Projects!$D:$D,MATCH(tbl_Tasks_Clean[[#This Row],[Project_ID]],Projects!$A:$A,0))</f>
        <v>Ahmed Nabil</v>
      </c>
      <c r="Z198" s="29" t="str">
        <f>IF(tbl_Tasks_Clean[[#This Row],[Delay_Days]]&gt;0,"Delayed by "&amp;TEXT(tbl_Tasks_Clean[[#This Row],[Delay_Days]],"0")&amp;" days",IF(tbl_Tasks_Clean[[#This Row],[Delay_Days]]&lt;0,"Early by "&amp;TEXT(-tbl_Tasks_Clean[[#This Row],[Delay_Days]],"0")&amp;" days","On schedule"))</f>
        <v>Delayed by 10 days</v>
      </c>
    </row>
    <row r="199" spans="1:26" x14ac:dyDescent="0.3">
      <c r="A199" t="s">
        <v>1061</v>
      </c>
      <c r="B199" t="s">
        <v>118</v>
      </c>
      <c r="C199" t="s">
        <v>119</v>
      </c>
      <c r="D199" t="s">
        <v>961</v>
      </c>
      <c r="E199" t="s">
        <v>177</v>
      </c>
      <c r="F199" t="s">
        <v>161</v>
      </c>
      <c r="G199" t="s">
        <v>350</v>
      </c>
      <c r="H199" t="s">
        <v>287</v>
      </c>
      <c r="I199">
        <v>5000</v>
      </c>
      <c r="J199">
        <v>2255</v>
      </c>
      <c r="K199" s="22">
        <v>45329</v>
      </c>
      <c r="L199" s="22">
        <v>45348</v>
      </c>
      <c r="M199" s="22"/>
      <c r="N199">
        <v>19</v>
      </c>
      <c r="O199">
        <v>0</v>
      </c>
      <c r="P199" t="s">
        <v>120</v>
      </c>
      <c r="Q199" t="s">
        <v>99</v>
      </c>
      <c r="R199">
        <v>100000</v>
      </c>
      <c r="S199" t="s">
        <v>150</v>
      </c>
      <c r="T199">
        <v>220</v>
      </c>
      <c r="U199" s="29">
        <f>tbl_Tasks_Clean[[#This Row],[Actual_Cost]]-tbl_Tasks_Clean[[#This Row],[Planned_Cost]]</f>
        <v>-2745</v>
      </c>
      <c r="V199" s="30">
        <f>IFERROR(tbl_Tasks_Clean[[#This Row],[Cost_Variance]]/tbl_Tasks_Clean[[#This Row],[Planned_Cost]],0)</f>
        <v>-0.54900000000000004</v>
      </c>
      <c r="W199" t="str">
        <f>IF(AND(tbl_Tasks_Clean[[#This Row],[Status]]="Completed",tbl_Tasks_Clean[[#This Row],[Delay_Days]]&lt;=0),"On Time",IF(AND(tbl_Tasks_Clean[[#This Row],[Status]]="Completed",tbl_Tasks_Clean[[#This Row],[Delay_Days]]&gt;0),"Late","N/A"))</f>
        <v>N/A</v>
      </c>
      <c r="X199" s="29" t="str" cm="1">
        <f t="array" ref="X199">_xlfn.IFS(tbl_Tasks_Clean[[#This Row],[Planned_Duration_Days]]&lt;=7,"Short (&lt;=7 days)",tbl_Tasks_Clean[[#This Row],[Planned_Duration_Days]]&lt;=20,"Medium (8-20 days)",TRUE,"Long (&gt;20 days)")</f>
        <v>Medium (8-20 days)</v>
      </c>
      <c r="Y199" s="29" t="str">
        <f>INDEX(Projects!$D:$D,MATCH(tbl_Tasks_Clean[[#This Row],[Project_ID]],Projects!$A:$A,0))</f>
        <v>Laila Samir</v>
      </c>
      <c r="Z199" s="29" t="str">
        <f>IF(tbl_Tasks_Clean[[#This Row],[Delay_Days]]&gt;0,"Delayed by "&amp;TEXT(tbl_Tasks_Clean[[#This Row],[Delay_Days]],"0")&amp;" days",IF(tbl_Tasks_Clean[[#This Row],[Delay_Days]]&lt;0,"Early by "&amp;TEXT(-tbl_Tasks_Clean[[#This Row],[Delay_Days]],"0")&amp;" days","On schedule"))</f>
        <v>On schedule</v>
      </c>
    </row>
    <row r="200" spans="1:26" x14ac:dyDescent="0.3">
      <c r="A200" t="s">
        <v>1064</v>
      </c>
      <c r="B200" t="s">
        <v>91</v>
      </c>
      <c r="C200" t="s">
        <v>92</v>
      </c>
      <c r="D200" t="s">
        <v>1445</v>
      </c>
      <c r="E200" t="s">
        <v>150</v>
      </c>
      <c r="F200" t="s">
        <v>214</v>
      </c>
      <c r="G200" t="s">
        <v>350</v>
      </c>
      <c r="H200" t="s">
        <v>314</v>
      </c>
      <c r="I200">
        <v>1500</v>
      </c>
      <c r="J200">
        <v>1516</v>
      </c>
      <c r="K200" s="22">
        <v>45460</v>
      </c>
      <c r="L200" s="22">
        <v>45466</v>
      </c>
      <c r="M200" s="22">
        <v>45468</v>
      </c>
      <c r="N200">
        <v>6</v>
      </c>
      <c r="O200">
        <v>2</v>
      </c>
      <c r="P200" t="s">
        <v>93</v>
      </c>
      <c r="Q200" t="s">
        <v>94</v>
      </c>
      <c r="R200">
        <v>100000</v>
      </c>
      <c r="S200" t="s">
        <v>206</v>
      </c>
      <c r="T200">
        <v>180</v>
      </c>
      <c r="U200" s="29">
        <f>tbl_Tasks_Clean[[#This Row],[Actual_Cost]]-tbl_Tasks_Clean[[#This Row],[Planned_Cost]]</f>
        <v>16</v>
      </c>
      <c r="V200" s="30">
        <f>IFERROR(tbl_Tasks_Clean[[#This Row],[Cost_Variance]]/tbl_Tasks_Clean[[#This Row],[Planned_Cost]],0)</f>
        <v>1.0666666666666666E-2</v>
      </c>
      <c r="W200" t="str">
        <f>IF(AND(tbl_Tasks_Clean[[#This Row],[Status]]="Completed",tbl_Tasks_Clean[[#This Row],[Delay_Days]]&lt;=0),"On Time",IF(AND(tbl_Tasks_Clean[[#This Row],[Status]]="Completed",tbl_Tasks_Clean[[#This Row],[Delay_Days]]&gt;0),"Late","N/A"))</f>
        <v>Late</v>
      </c>
      <c r="X200" s="29" t="str" cm="1">
        <f t="array" ref="X200">_xlfn.IFS(tbl_Tasks_Clean[[#This Row],[Planned_Duration_Days]]&lt;=7,"Short (&lt;=7 days)",tbl_Tasks_Clean[[#This Row],[Planned_Duration_Days]]&lt;=20,"Medium (8-20 days)",TRUE,"Long (&gt;20 days)")</f>
        <v>Short (&lt;=7 days)</v>
      </c>
      <c r="Y200" s="29" t="str">
        <f>INDEX(Projects!$D:$D,MATCH(tbl_Tasks_Clean[[#This Row],[Project_ID]],Projects!$A:$A,0))</f>
        <v>Ahmed Nabil</v>
      </c>
      <c r="Z200" s="29" t="str">
        <f>IF(tbl_Tasks_Clean[[#This Row],[Delay_Days]]&gt;0,"Delayed by "&amp;TEXT(tbl_Tasks_Clean[[#This Row],[Delay_Days]],"0")&amp;" days",IF(tbl_Tasks_Clean[[#This Row],[Delay_Days]]&lt;0,"Early by "&amp;TEXT(-tbl_Tasks_Clean[[#This Row],[Delay_Days]],"0")&amp;" days","On schedule"))</f>
        <v>Delayed by 2 days</v>
      </c>
    </row>
    <row r="201" spans="1:26" x14ac:dyDescent="0.3">
      <c r="A201" t="s">
        <v>1069</v>
      </c>
      <c r="B201" t="s">
        <v>81</v>
      </c>
      <c r="C201" t="s">
        <v>82</v>
      </c>
      <c r="D201" t="s">
        <v>1070</v>
      </c>
      <c r="E201" t="s">
        <v>187</v>
      </c>
      <c r="F201" t="s">
        <v>216</v>
      </c>
      <c r="G201" t="s">
        <v>250</v>
      </c>
      <c r="H201" t="s">
        <v>287</v>
      </c>
      <c r="I201">
        <v>5000</v>
      </c>
      <c r="J201">
        <v>2401</v>
      </c>
      <c r="K201" s="22">
        <v>45545</v>
      </c>
      <c r="L201" s="22">
        <v>45561</v>
      </c>
      <c r="M201" s="22"/>
      <c r="N201">
        <v>16</v>
      </c>
      <c r="O201">
        <v>0</v>
      </c>
      <c r="P201" t="s">
        <v>83</v>
      </c>
      <c r="Q201" t="s">
        <v>84</v>
      </c>
      <c r="R201">
        <v>75000</v>
      </c>
      <c r="S201" t="s">
        <v>206</v>
      </c>
      <c r="T201">
        <v>200</v>
      </c>
      <c r="U201" s="29">
        <f>tbl_Tasks_Clean[[#This Row],[Actual_Cost]]-tbl_Tasks_Clean[[#This Row],[Planned_Cost]]</f>
        <v>-2599</v>
      </c>
      <c r="V201" s="30">
        <f>IFERROR(tbl_Tasks_Clean[[#This Row],[Cost_Variance]]/tbl_Tasks_Clean[[#This Row],[Planned_Cost]],0)</f>
        <v>-0.51980000000000004</v>
      </c>
      <c r="W201" t="str">
        <f>IF(AND(tbl_Tasks_Clean[[#This Row],[Status]]="Completed",tbl_Tasks_Clean[[#This Row],[Delay_Days]]&lt;=0),"On Time",IF(AND(tbl_Tasks_Clean[[#This Row],[Status]]="Completed",tbl_Tasks_Clean[[#This Row],[Delay_Days]]&gt;0),"Late","N/A"))</f>
        <v>N/A</v>
      </c>
      <c r="X201" s="29" t="str" cm="1">
        <f t="array" ref="X201">_xlfn.IFS(tbl_Tasks_Clean[[#This Row],[Planned_Duration_Days]]&lt;=7,"Short (&lt;=7 days)",tbl_Tasks_Clean[[#This Row],[Planned_Duration_Days]]&lt;=20,"Medium (8-20 days)",TRUE,"Long (&gt;20 days)")</f>
        <v>Medium (8-20 days)</v>
      </c>
      <c r="Y201" s="29" t="str">
        <f>INDEX(Projects!$D:$D,MATCH(tbl_Tasks_Clean[[#This Row],[Project_ID]],Projects!$A:$A,0))</f>
        <v>Mona Farid</v>
      </c>
      <c r="Z201" s="29" t="str">
        <f>IF(tbl_Tasks_Clean[[#This Row],[Delay_Days]]&gt;0,"Delayed by "&amp;TEXT(tbl_Tasks_Clean[[#This Row],[Delay_Days]],"0")&amp;" days",IF(tbl_Tasks_Clean[[#This Row],[Delay_Days]]&lt;0,"Early by "&amp;TEXT(-tbl_Tasks_Clean[[#This Row],[Delay_Days]],"0")&amp;" days","On schedule"))</f>
        <v>On schedule</v>
      </c>
    </row>
    <row r="202" spans="1:26" x14ac:dyDescent="0.3">
      <c r="A202" t="s">
        <v>1073</v>
      </c>
      <c r="B202" t="s">
        <v>81</v>
      </c>
      <c r="C202" t="s">
        <v>82</v>
      </c>
      <c r="D202" t="s">
        <v>1446</v>
      </c>
      <c r="E202" t="s">
        <v>177</v>
      </c>
      <c r="F202" t="s">
        <v>163</v>
      </c>
      <c r="G202" t="s">
        <v>250</v>
      </c>
      <c r="H202" t="s">
        <v>287</v>
      </c>
      <c r="I202">
        <v>5000</v>
      </c>
      <c r="J202">
        <v>3032</v>
      </c>
      <c r="K202" s="22">
        <v>45504</v>
      </c>
      <c r="L202" s="22">
        <v>45520</v>
      </c>
      <c r="M202" s="22"/>
      <c r="N202">
        <v>16</v>
      </c>
      <c r="O202">
        <v>0</v>
      </c>
      <c r="P202" t="s">
        <v>83</v>
      </c>
      <c r="Q202" t="s">
        <v>84</v>
      </c>
      <c r="R202">
        <v>75000</v>
      </c>
      <c r="S202" t="s">
        <v>164</v>
      </c>
      <c r="T202">
        <v>180</v>
      </c>
      <c r="U202" s="29">
        <f>tbl_Tasks_Clean[[#This Row],[Actual_Cost]]-tbl_Tasks_Clean[[#This Row],[Planned_Cost]]</f>
        <v>-1968</v>
      </c>
      <c r="V202" s="30">
        <f>IFERROR(tbl_Tasks_Clean[[#This Row],[Cost_Variance]]/tbl_Tasks_Clean[[#This Row],[Planned_Cost]],0)</f>
        <v>-0.39360000000000001</v>
      </c>
      <c r="W202" t="str">
        <f>IF(AND(tbl_Tasks_Clean[[#This Row],[Status]]="Completed",tbl_Tasks_Clean[[#This Row],[Delay_Days]]&lt;=0),"On Time",IF(AND(tbl_Tasks_Clean[[#This Row],[Status]]="Completed",tbl_Tasks_Clean[[#This Row],[Delay_Days]]&gt;0),"Late","N/A"))</f>
        <v>N/A</v>
      </c>
      <c r="X202" s="29" t="str" cm="1">
        <f t="array" ref="X202">_xlfn.IFS(tbl_Tasks_Clean[[#This Row],[Planned_Duration_Days]]&lt;=7,"Short (&lt;=7 days)",tbl_Tasks_Clean[[#This Row],[Planned_Duration_Days]]&lt;=20,"Medium (8-20 days)",TRUE,"Long (&gt;20 days)")</f>
        <v>Medium (8-20 days)</v>
      </c>
      <c r="Y202" s="29" t="str">
        <f>INDEX(Projects!$D:$D,MATCH(tbl_Tasks_Clean[[#This Row],[Project_ID]],Projects!$A:$A,0))</f>
        <v>Mona Farid</v>
      </c>
      <c r="Z202" s="29" t="str">
        <f>IF(tbl_Tasks_Clean[[#This Row],[Delay_Days]]&gt;0,"Delayed by "&amp;TEXT(tbl_Tasks_Clean[[#This Row],[Delay_Days]],"0")&amp;" days",IF(tbl_Tasks_Clean[[#This Row],[Delay_Days]]&lt;0,"Early by "&amp;TEXT(-tbl_Tasks_Clean[[#This Row],[Delay_Days]],"0")&amp;" days","On schedule"))</f>
        <v>On schedule</v>
      </c>
    </row>
    <row r="203" spans="1:26" x14ac:dyDescent="0.3">
      <c r="A203" t="s">
        <v>1076</v>
      </c>
      <c r="B203" t="s">
        <v>136</v>
      </c>
      <c r="C203" t="s">
        <v>137</v>
      </c>
      <c r="D203" t="s">
        <v>954</v>
      </c>
      <c r="E203" t="s">
        <v>164</v>
      </c>
      <c r="F203" t="s">
        <v>209</v>
      </c>
      <c r="G203" t="s">
        <v>250</v>
      </c>
      <c r="H203" t="s">
        <v>287</v>
      </c>
      <c r="I203">
        <v>1000</v>
      </c>
      <c r="J203">
        <v>416</v>
      </c>
      <c r="K203" s="22">
        <v>45346</v>
      </c>
      <c r="L203" s="22">
        <v>45370</v>
      </c>
      <c r="M203" s="22"/>
      <c r="N203">
        <v>24</v>
      </c>
      <c r="O203">
        <v>0</v>
      </c>
      <c r="P203" t="s">
        <v>138</v>
      </c>
      <c r="Q203" t="s">
        <v>94</v>
      </c>
      <c r="R203">
        <v>300000</v>
      </c>
      <c r="S203" t="s">
        <v>206</v>
      </c>
      <c r="T203">
        <v>250</v>
      </c>
      <c r="U203" s="29">
        <f>tbl_Tasks_Clean[[#This Row],[Actual_Cost]]-tbl_Tasks_Clean[[#This Row],[Planned_Cost]]</f>
        <v>-584</v>
      </c>
      <c r="V203" s="30">
        <f>IFERROR(tbl_Tasks_Clean[[#This Row],[Cost_Variance]]/tbl_Tasks_Clean[[#This Row],[Planned_Cost]],0)</f>
        <v>-0.58399999999999996</v>
      </c>
      <c r="W203" t="str">
        <f>IF(AND(tbl_Tasks_Clean[[#This Row],[Status]]="Completed",tbl_Tasks_Clean[[#This Row],[Delay_Days]]&lt;=0),"On Time",IF(AND(tbl_Tasks_Clean[[#This Row],[Status]]="Completed",tbl_Tasks_Clean[[#This Row],[Delay_Days]]&gt;0),"Late","N/A"))</f>
        <v>N/A</v>
      </c>
      <c r="X203" s="29" t="str" cm="1">
        <f t="array" ref="X203">_xlfn.IFS(tbl_Tasks_Clean[[#This Row],[Planned_Duration_Days]]&lt;=7,"Short (&lt;=7 days)",tbl_Tasks_Clean[[#This Row],[Planned_Duration_Days]]&lt;=20,"Medium (8-20 days)",TRUE,"Long (&gt;20 days)")</f>
        <v>Long (&gt;20 days)</v>
      </c>
      <c r="Y203" s="29" t="str">
        <f>INDEX(Projects!$D:$D,MATCH(tbl_Tasks_Clean[[#This Row],[Project_ID]],Projects!$A:$A,0))</f>
        <v>Ahmed Nabil</v>
      </c>
      <c r="Z203" s="29" t="str">
        <f>IF(tbl_Tasks_Clean[[#This Row],[Delay_Days]]&gt;0,"Delayed by "&amp;TEXT(tbl_Tasks_Clean[[#This Row],[Delay_Days]],"0")&amp;" days",IF(tbl_Tasks_Clean[[#This Row],[Delay_Days]]&lt;0,"Early by "&amp;TEXT(-tbl_Tasks_Clean[[#This Row],[Delay_Days]],"0")&amp;" days","On schedule"))</f>
        <v>On schedule</v>
      </c>
    </row>
    <row r="204" spans="1:26" x14ac:dyDescent="0.3">
      <c r="A204" t="s">
        <v>1077</v>
      </c>
      <c r="B204" t="s">
        <v>113</v>
      </c>
      <c r="C204" t="s">
        <v>114</v>
      </c>
      <c r="D204" t="s">
        <v>1078</v>
      </c>
      <c r="E204" t="s">
        <v>150</v>
      </c>
      <c r="F204" t="s">
        <v>193</v>
      </c>
      <c r="G204" t="s">
        <v>250</v>
      </c>
      <c r="H204" t="s">
        <v>269</v>
      </c>
      <c r="I204">
        <v>3000</v>
      </c>
      <c r="J204">
        <v>2732</v>
      </c>
      <c r="K204" s="22"/>
      <c r="L204" s="22"/>
      <c r="M204" s="22"/>
      <c r="O204">
        <v>0</v>
      </c>
      <c r="P204" t="s">
        <v>115</v>
      </c>
      <c r="Q204" t="s">
        <v>116</v>
      </c>
      <c r="R204">
        <v>300000</v>
      </c>
      <c r="S204" t="s">
        <v>187</v>
      </c>
      <c r="T204">
        <v>300</v>
      </c>
      <c r="U204" s="29">
        <f>tbl_Tasks_Clean[[#This Row],[Actual_Cost]]-tbl_Tasks_Clean[[#This Row],[Planned_Cost]]</f>
        <v>-268</v>
      </c>
      <c r="V204" s="30">
        <f>IFERROR(tbl_Tasks_Clean[[#This Row],[Cost_Variance]]/tbl_Tasks_Clean[[#This Row],[Planned_Cost]],0)</f>
        <v>-8.9333333333333334E-2</v>
      </c>
      <c r="W204" t="str">
        <f>IF(AND(tbl_Tasks_Clean[[#This Row],[Status]]="Completed",tbl_Tasks_Clean[[#This Row],[Delay_Days]]&lt;=0),"On Time",IF(AND(tbl_Tasks_Clean[[#This Row],[Status]]="Completed",tbl_Tasks_Clean[[#This Row],[Delay_Days]]&gt;0),"Late","N/A"))</f>
        <v>N/A</v>
      </c>
      <c r="X204" s="29" t="str" cm="1">
        <f t="array" ref="X204">_xlfn.IFS(tbl_Tasks_Clean[[#This Row],[Planned_Duration_Days]]&lt;=7,"Short (&lt;=7 days)",tbl_Tasks_Clean[[#This Row],[Planned_Duration_Days]]&lt;=20,"Medium (8-20 days)",TRUE,"Long (&gt;20 days)")</f>
        <v>Short (&lt;=7 days)</v>
      </c>
      <c r="Y204" s="29" t="str">
        <f>INDEX(Projects!$D:$D,MATCH(tbl_Tasks_Clean[[#This Row],[Project_ID]],Projects!$A:$A,0))</f>
        <v>Nourhan Tarek</v>
      </c>
      <c r="Z204" s="29" t="str">
        <f>IF(tbl_Tasks_Clean[[#This Row],[Delay_Days]]&gt;0,"Delayed by "&amp;TEXT(tbl_Tasks_Clean[[#This Row],[Delay_Days]],"0")&amp;" days",IF(tbl_Tasks_Clean[[#This Row],[Delay_Days]]&lt;0,"Early by "&amp;TEXT(-tbl_Tasks_Clean[[#This Row],[Delay_Days]],"0")&amp;" days","On schedule"))</f>
        <v>On schedule</v>
      </c>
    </row>
    <row r="205" spans="1:26" x14ac:dyDescent="0.3">
      <c r="A205" t="s">
        <v>1081</v>
      </c>
      <c r="B205" t="s">
        <v>91</v>
      </c>
      <c r="C205" t="s">
        <v>92</v>
      </c>
      <c r="D205" t="s">
        <v>1082</v>
      </c>
      <c r="E205" t="s">
        <v>197</v>
      </c>
      <c r="F205" t="s">
        <v>193</v>
      </c>
      <c r="G205" t="s">
        <v>250</v>
      </c>
      <c r="H205" t="s">
        <v>314</v>
      </c>
      <c r="I205">
        <v>2500</v>
      </c>
      <c r="J205">
        <v>3499</v>
      </c>
      <c r="K205" s="22">
        <v>45465</v>
      </c>
      <c r="L205" s="22">
        <v>45495</v>
      </c>
      <c r="M205" s="22">
        <v>45494</v>
      </c>
      <c r="N205">
        <v>30</v>
      </c>
      <c r="O205">
        <v>-1</v>
      </c>
      <c r="P205" t="s">
        <v>93</v>
      </c>
      <c r="Q205" t="s">
        <v>94</v>
      </c>
      <c r="R205">
        <v>100000</v>
      </c>
      <c r="S205" t="s">
        <v>187</v>
      </c>
      <c r="T205">
        <v>300</v>
      </c>
      <c r="U205" s="29">
        <f>tbl_Tasks_Clean[[#This Row],[Actual_Cost]]-tbl_Tasks_Clean[[#This Row],[Planned_Cost]]</f>
        <v>999</v>
      </c>
      <c r="V205" s="30">
        <f>IFERROR(tbl_Tasks_Clean[[#This Row],[Cost_Variance]]/tbl_Tasks_Clean[[#This Row],[Planned_Cost]],0)</f>
        <v>0.39960000000000001</v>
      </c>
      <c r="W205" t="str">
        <f>IF(AND(tbl_Tasks_Clean[[#This Row],[Status]]="Completed",tbl_Tasks_Clean[[#This Row],[Delay_Days]]&lt;=0),"On Time",IF(AND(tbl_Tasks_Clean[[#This Row],[Status]]="Completed",tbl_Tasks_Clean[[#This Row],[Delay_Days]]&gt;0),"Late","N/A"))</f>
        <v>On Time</v>
      </c>
      <c r="X205" s="29" t="str" cm="1">
        <f t="array" ref="X205">_xlfn.IFS(tbl_Tasks_Clean[[#This Row],[Planned_Duration_Days]]&lt;=7,"Short (&lt;=7 days)",tbl_Tasks_Clean[[#This Row],[Planned_Duration_Days]]&lt;=20,"Medium (8-20 days)",TRUE,"Long (&gt;20 days)")</f>
        <v>Long (&gt;20 days)</v>
      </c>
      <c r="Y205" s="29" t="str">
        <f>INDEX(Projects!$D:$D,MATCH(tbl_Tasks_Clean[[#This Row],[Project_ID]],Projects!$A:$A,0))</f>
        <v>Ahmed Nabil</v>
      </c>
      <c r="Z205" s="29" t="str">
        <f>IF(tbl_Tasks_Clean[[#This Row],[Delay_Days]]&gt;0,"Delayed by "&amp;TEXT(tbl_Tasks_Clean[[#This Row],[Delay_Days]],"0")&amp;" days",IF(tbl_Tasks_Clean[[#This Row],[Delay_Days]]&lt;0,"Early by "&amp;TEXT(-tbl_Tasks_Clean[[#This Row],[Delay_Days]],"0")&amp;" days","On schedule"))</f>
        <v>Early by 1 days</v>
      </c>
    </row>
    <row r="206" spans="1:26" x14ac:dyDescent="0.3">
      <c r="A206" t="s">
        <v>1085</v>
      </c>
      <c r="B206" t="s">
        <v>101</v>
      </c>
      <c r="C206" t="s">
        <v>102</v>
      </c>
      <c r="D206" t="s">
        <v>1447</v>
      </c>
      <c r="E206" t="s">
        <v>150</v>
      </c>
      <c r="F206" t="s">
        <v>149</v>
      </c>
      <c r="G206" t="s">
        <v>281</v>
      </c>
      <c r="H206" t="s">
        <v>319</v>
      </c>
      <c r="I206">
        <v>6000</v>
      </c>
      <c r="J206">
        <v>3348</v>
      </c>
      <c r="K206" s="22">
        <v>45328</v>
      </c>
      <c r="L206" s="22">
        <v>45357</v>
      </c>
      <c r="M206" s="22"/>
      <c r="N206">
        <v>29</v>
      </c>
      <c r="O206">
        <v>0</v>
      </c>
      <c r="P206" t="s">
        <v>103</v>
      </c>
      <c r="Q206" t="s">
        <v>94</v>
      </c>
      <c r="R206">
        <v>50000</v>
      </c>
      <c r="S206" t="s">
        <v>150</v>
      </c>
      <c r="T206">
        <v>150</v>
      </c>
      <c r="U206" s="29">
        <f>tbl_Tasks_Clean[[#This Row],[Actual_Cost]]-tbl_Tasks_Clean[[#This Row],[Planned_Cost]]</f>
        <v>-2652</v>
      </c>
      <c r="V206" s="30">
        <f>IFERROR(tbl_Tasks_Clean[[#This Row],[Cost_Variance]]/tbl_Tasks_Clean[[#This Row],[Planned_Cost]],0)</f>
        <v>-0.442</v>
      </c>
      <c r="W206" t="str">
        <f>IF(AND(tbl_Tasks_Clean[[#This Row],[Status]]="Completed",tbl_Tasks_Clean[[#This Row],[Delay_Days]]&lt;=0),"On Time",IF(AND(tbl_Tasks_Clean[[#This Row],[Status]]="Completed",tbl_Tasks_Clean[[#This Row],[Delay_Days]]&gt;0),"Late","N/A"))</f>
        <v>N/A</v>
      </c>
      <c r="X206" s="29" t="str" cm="1">
        <f t="array" ref="X206">_xlfn.IFS(tbl_Tasks_Clean[[#This Row],[Planned_Duration_Days]]&lt;=7,"Short (&lt;=7 days)",tbl_Tasks_Clean[[#This Row],[Planned_Duration_Days]]&lt;=20,"Medium (8-20 days)",TRUE,"Long (&gt;20 days)")</f>
        <v>Long (&gt;20 days)</v>
      </c>
      <c r="Y206" s="29" t="str">
        <f>INDEX(Projects!$D:$D,MATCH(tbl_Tasks_Clean[[#This Row],[Project_ID]],Projects!$A:$A,0))</f>
        <v>Ahmed Nabil</v>
      </c>
      <c r="Z206" s="29" t="str">
        <f>IF(tbl_Tasks_Clean[[#This Row],[Delay_Days]]&gt;0,"Delayed by "&amp;TEXT(tbl_Tasks_Clean[[#This Row],[Delay_Days]],"0")&amp;" days",IF(tbl_Tasks_Clean[[#This Row],[Delay_Days]]&lt;0,"Early by "&amp;TEXT(-tbl_Tasks_Clean[[#This Row],[Delay_Days]],"0")&amp;" days","On schedule"))</f>
        <v>On schedule</v>
      </c>
    </row>
    <row r="207" spans="1:26" x14ac:dyDescent="0.3">
      <c r="A207" t="s">
        <v>1089</v>
      </c>
      <c r="B207" t="s">
        <v>81</v>
      </c>
      <c r="C207" t="s">
        <v>82</v>
      </c>
      <c r="D207" t="s">
        <v>1090</v>
      </c>
      <c r="E207" t="s">
        <v>177</v>
      </c>
      <c r="F207" t="s">
        <v>214</v>
      </c>
      <c r="G207" t="s">
        <v>250</v>
      </c>
      <c r="H207" t="s">
        <v>356</v>
      </c>
      <c r="I207">
        <v>1500</v>
      </c>
      <c r="J207">
        <v>2042</v>
      </c>
      <c r="K207" s="22"/>
      <c r="L207" s="22"/>
      <c r="M207" s="22"/>
      <c r="O207">
        <v>0</v>
      </c>
      <c r="P207" t="s">
        <v>83</v>
      </c>
      <c r="Q207" t="s">
        <v>84</v>
      </c>
      <c r="R207">
        <v>75000</v>
      </c>
      <c r="S207" t="s">
        <v>206</v>
      </c>
      <c r="T207">
        <v>180</v>
      </c>
      <c r="U207" s="29">
        <f>tbl_Tasks_Clean[[#This Row],[Actual_Cost]]-tbl_Tasks_Clean[[#This Row],[Planned_Cost]]</f>
        <v>542</v>
      </c>
      <c r="V207" s="30">
        <f>IFERROR(tbl_Tasks_Clean[[#This Row],[Cost_Variance]]/tbl_Tasks_Clean[[#This Row],[Planned_Cost]],0)</f>
        <v>0.36133333333333334</v>
      </c>
      <c r="W207" t="str">
        <f>IF(AND(tbl_Tasks_Clean[[#This Row],[Status]]="Completed",tbl_Tasks_Clean[[#This Row],[Delay_Days]]&lt;=0),"On Time",IF(AND(tbl_Tasks_Clean[[#This Row],[Status]]="Completed",tbl_Tasks_Clean[[#This Row],[Delay_Days]]&gt;0),"Late","N/A"))</f>
        <v>N/A</v>
      </c>
      <c r="X207" s="29" t="str" cm="1">
        <f t="array" ref="X207">_xlfn.IFS(tbl_Tasks_Clean[[#This Row],[Planned_Duration_Days]]&lt;=7,"Short (&lt;=7 days)",tbl_Tasks_Clean[[#This Row],[Planned_Duration_Days]]&lt;=20,"Medium (8-20 days)",TRUE,"Long (&gt;20 days)")</f>
        <v>Short (&lt;=7 days)</v>
      </c>
      <c r="Y207" s="29" t="str">
        <f>INDEX(Projects!$D:$D,MATCH(tbl_Tasks_Clean[[#This Row],[Project_ID]],Projects!$A:$A,0))</f>
        <v>Mona Farid</v>
      </c>
      <c r="Z207" s="29" t="str">
        <f>IF(tbl_Tasks_Clean[[#This Row],[Delay_Days]]&gt;0,"Delayed by "&amp;TEXT(tbl_Tasks_Clean[[#This Row],[Delay_Days]],"0")&amp;" days",IF(tbl_Tasks_Clean[[#This Row],[Delay_Days]]&lt;0,"Early by "&amp;TEXT(-tbl_Tasks_Clean[[#This Row],[Delay_Days]],"0")&amp;" days","On schedule"))</f>
        <v>On schedule</v>
      </c>
    </row>
    <row r="208" spans="1:26" x14ac:dyDescent="0.3">
      <c r="A208" t="s">
        <v>1093</v>
      </c>
      <c r="B208" t="s">
        <v>91</v>
      </c>
      <c r="C208" t="s">
        <v>92</v>
      </c>
      <c r="D208" t="s">
        <v>1094</v>
      </c>
      <c r="E208" t="s">
        <v>197</v>
      </c>
      <c r="F208" t="s">
        <v>222</v>
      </c>
      <c r="G208" t="s">
        <v>281</v>
      </c>
      <c r="H208" t="s">
        <v>314</v>
      </c>
      <c r="I208">
        <v>2000</v>
      </c>
      <c r="J208">
        <v>2156</v>
      </c>
      <c r="K208" s="22"/>
      <c r="L208" s="22"/>
      <c r="M208" s="22"/>
      <c r="O208">
        <v>0</v>
      </c>
      <c r="P208" t="s">
        <v>93</v>
      </c>
      <c r="Q208" t="s">
        <v>94</v>
      </c>
      <c r="R208">
        <v>100000</v>
      </c>
      <c r="S208" t="s">
        <v>219</v>
      </c>
      <c r="T208">
        <v>250</v>
      </c>
      <c r="U208" s="29">
        <f>tbl_Tasks_Clean[[#This Row],[Actual_Cost]]-tbl_Tasks_Clean[[#This Row],[Planned_Cost]]</f>
        <v>156</v>
      </c>
      <c r="V208" s="30">
        <f>IFERROR(tbl_Tasks_Clean[[#This Row],[Cost_Variance]]/tbl_Tasks_Clean[[#This Row],[Planned_Cost]],0)</f>
        <v>7.8E-2</v>
      </c>
      <c r="W208" t="str">
        <f>IF(AND(tbl_Tasks_Clean[[#This Row],[Status]]="Completed",tbl_Tasks_Clean[[#This Row],[Delay_Days]]&lt;=0),"On Time",IF(AND(tbl_Tasks_Clean[[#This Row],[Status]]="Completed",tbl_Tasks_Clean[[#This Row],[Delay_Days]]&gt;0),"Late","N/A"))</f>
        <v>On Time</v>
      </c>
      <c r="X208" s="29" t="str" cm="1">
        <f t="array" ref="X208">_xlfn.IFS(tbl_Tasks_Clean[[#This Row],[Planned_Duration_Days]]&lt;=7,"Short (&lt;=7 days)",tbl_Tasks_Clean[[#This Row],[Planned_Duration_Days]]&lt;=20,"Medium (8-20 days)",TRUE,"Long (&gt;20 days)")</f>
        <v>Short (&lt;=7 days)</v>
      </c>
      <c r="Y208" s="29" t="str">
        <f>INDEX(Projects!$D:$D,MATCH(tbl_Tasks_Clean[[#This Row],[Project_ID]],Projects!$A:$A,0))</f>
        <v>Ahmed Nabil</v>
      </c>
      <c r="Z208" s="29" t="str">
        <f>IF(tbl_Tasks_Clean[[#This Row],[Delay_Days]]&gt;0,"Delayed by "&amp;TEXT(tbl_Tasks_Clean[[#This Row],[Delay_Days]],"0")&amp;" days",IF(tbl_Tasks_Clean[[#This Row],[Delay_Days]]&lt;0,"Early by "&amp;TEXT(-tbl_Tasks_Clean[[#This Row],[Delay_Days]],"0")&amp;" days","On schedule"))</f>
        <v>On schedule</v>
      </c>
    </row>
    <row r="209" spans="1:26" x14ac:dyDescent="0.3">
      <c r="A209" t="s">
        <v>1098</v>
      </c>
      <c r="B209" t="s">
        <v>133</v>
      </c>
      <c r="C209" t="s">
        <v>134</v>
      </c>
      <c r="D209" t="s">
        <v>666</v>
      </c>
      <c r="E209" t="s">
        <v>150</v>
      </c>
      <c r="F209" t="s">
        <v>209</v>
      </c>
      <c r="G209" t="s">
        <v>250</v>
      </c>
      <c r="H209" t="s">
        <v>314</v>
      </c>
      <c r="I209">
        <v>4000</v>
      </c>
      <c r="J209">
        <v>3393</v>
      </c>
      <c r="K209" s="22">
        <v>45461</v>
      </c>
      <c r="L209" s="22">
        <v>45470</v>
      </c>
      <c r="M209" s="22">
        <v>45472</v>
      </c>
      <c r="N209">
        <v>9</v>
      </c>
      <c r="O209">
        <v>2</v>
      </c>
      <c r="P209" t="s">
        <v>111</v>
      </c>
      <c r="Q209" t="s">
        <v>116</v>
      </c>
      <c r="R209">
        <v>200000</v>
      </c>
      <c r="S209" t="s">
        <v>206</v>
      </c>
      <c r="T209">
        <v>250</v>
      </c>
      <c r="U209" s="29">
        <f>tbl_Tasks_Clean[[#This Row],[Actual_Cost]]-tbl_Tasks_Clean[[#This Row],[Planned_Cost]]</f>
        <v>-607</v>
      </c>
      <c r="V209" s="30">
        <f>IFERROR(tbl_Tasks_Clean[[#This Row],[Cost_Variance]]/tbl_Tasks_Clean[[#This Row],[Planned_Cost]],0)</f>
        <v>-0.15175</v>
      </c>
      <c r="W209" t="str">
        <f>IF(AND(tbl_Tasks_Clean[[#This Row],[Status]]="Completed",tbl_Tasks_Clean[[#This Row],[Delay_Days]]&lt;=0),"On Time",IF(AND(tbl_Tasks_Clean[[#This Row],[Status]]="Completed",tbl_Tasks_Clean[[#This Row],[Delay_Days]]&gt;0),"Late","N/A"))</f>
        <v>Late</v>
      </c>
      <c r="X209" s="29" t="str" cm="1">
        <f t="array" ref="X209">_xlfn.IFS(tbl_Tasks_Clean[[#This Row],[Planned_Duration_Days]]&lt;=7,"Short (&lt;=7 days)",tbl_Tasks_Clean[[#This Row],[Planned_Duration_Days]]&lt;=20,"Medium (8-20 days)",TRUE,"Long (&gt;20 days)")</f>
        <v>Medium (8-20 days)</v>
      </c>
      <c r="Y209" s="29" t="str">
        <f>INDEX(Projects!$D:$D,MATCH(tbl_Tasks_Clean[[#This Row],[Project_ID]],Projects!$A:$A,0))</f>
        <v>Nourhan Tarek</v>
      </c>
      <c r="Z209" s="29" t="str">
        <f>IF(tbl_Tasks_Clean[[#This Row],[Delay_Days]]&gt;0,"Delayed by "&amp;TEXT(tbl_Tasks_Clean[[#This Row],[Delay_Days]],"0")&amp;" days",IF(tbl_Tasks_Clean[[#This Row],[Delay_Days]]&lt;0,"Early by "&amp;TEXT(-tbl_Tasks_Clean[[#This Row],[Delay_Days]],"0")&amp;" days","On schedule"))</f>
        <v>Delayed by 2 days</v>
      </c>
    </row>
    <row r="210" spans="1:26" x14ac:dyDescent="0.3">
      <c r="A210" t="s">
        <v>1101</v>
      </c>
      <c r="B210" t="s">
        <v>118</v>
      </c>
      <c r="C210" t="s">
        <v>119</v>
      </c>
      <c r="D210" t="s">
        <v>1102</v>
      </c>
      <c r="E210" t="s">
        <v>150</v>
      </c>
      <c r="F210" t="s">
        <v>214</v>
      </c>
      <c r="G210" t="s">
        <v>350</v>
      </c>
      <c r="H210" t="s">
        <v>287</v>
      </c>
      <c r="I210">
        <v>6000</v>
      </c>
      <c r="J210">
        <v>1233</v>
      </c>
      <c r="K210" s="22">
        <v>45425</v>
      </c>
      <c r="L210" s="22">
        <v>45449</v>
      </c>
      <c r="M210" s="22"/>
      <c r="N210">
        <v>24</v>
      </c>
      <c r="O210">
        <v>0</v>
      </c>
      <c r="P210" t="s">
        <v>120</v>
      </c>
      <c r="Q210" t="s">
        <v>99</v>
      </c>
      <c r="R210">
        <v>100000</v>
      </c>
      <c r="S210" t="s">
        <v>206</v>
      </c>
      <c r="T210">
        <v>180</v>
      </c>
      <c r="U210" s="29">
        <f>tbl_Tasks_Clean[[#This Row],[Actual_Cost]]-tbl_Tasks_Clean[[#This Row],[Planned_Cost]]</f>
        <v>-4767</v>
      </c>
      <c r="V210" s="30">
        <f>IFERROR(tbl_Tasks_Clean[[#This Row],[Cost_Variance]]/tbl_Tasks_Clean[[#This Row],[Planned_Cost]],0)</f>
        <v>-0.79449999999999998</v>
      </c>
      <c r="W210" t="str">
        <f>IF(AND(tbl_Tasks_Clean[[#This Row],[Status]]="Completed",tbl_Tasks_Clean[[#This Row],[Delay_Days]]&lt;=0),"On Time",IF(AND(tbl_Tasks_Clean[[#This Row],[Status]]="Completed",tbl_Tasks_Clean[[#This Row],[Delay_Days]]&gt;0),"Late","N/A"))</f>
        <v>N/A</v>
      </c>
      <c r="X210" s="29" t="str" cm="1">
        <f t="array" ref="X210">_xlfn.IFS(tbl_Tasks_Clean[[#This Row],[Planned_Duration_Days]]&lt;=7,"Short (&lt;=7 days)",tbl_Tasks_Clean[[#This Row],[Planned_Duration_Days]]&lt;=20,"Medium (8-20 days)",TRUE,"Long (&gt;20 days)")</f>
        <v>Long (&gt;20 days)</v>
      </c>
      <c r="Y210" s="29" t="str">
        <f>INDEX(Projects!$D:$D,MATCH(tbl_Tasks_Clean[[#This Row],[Project_ID]],Projects!$A:$A,0))</f>
        <v>Laila Samir</v>
      </c>
      <c r="Z210" s="29" t="str">
        <f>IF(tbl_Tasks_Clean[[#This Row],[Delay_Days]]&gt;0,"Delayed by "&amp;TEXT(tbl_Tasks_Clean[[#This Row],[Delay_Days]],"0")&amp;" days",IF(tbl_Tasks_Clean[[#This Row],[Delay_Days]]&lt;0,"Early by "&amp;TEXT(-tbl_Tasks_Clean[[#This Row],[Delay_Days]],"0")&amp;" days","On schedule"))</f>
        <v>On schedule</v>
      </c>
    </row>
    <row r="211" spans="1:26" x14ac:dyDescent="0.3">
      <c r="A211" t="s">
        <v>1104</v>
      </c>
      <c r="B211" t="s">
        <v>113</v>
      </c>
      <c r="C211" t="s">
        <v>114</v>
      </c>
      <c r="D211" t="s">
        <v>400</v>
      </c>
      <c r="E211" t="s">
        <v>1435</v>
      </c>
      <c r="F211" t="s">
        <v>161</v>
      </c>
      <c r="G211" t="s">
        <v>281</v>
      </c>
      <c r="H211" t="s">
        <v>314</v>
      </c>
      <c r="I211">
        <v>0</v>
      </c>
      <c r="J211">
        <v>2192</v>
      </c>
      <c r="K211" s="22">
        <v>45383</v>
      </c>
      <c r="L211" s="22">
        <v>45406</v>
      </c>
      <c r="M211" s="22">
        <v>45405</v>
      </c>
      <c r="N211">
        <v>23</v>
      </c>
      <c r="O211">
        <v>-1</v>
      </c>
      <c r="P211" t="s">
        <v>115</v>
      </c>
      <c r="Q211" t="s">
        <v>116</v>
      </c>
      <c r="R211">
        <v>300000</v>
      </c>
      <c r="S211" t="s">
        <v>150</v>
      </c>
      <c r="T211">
        <v>220</v>
      </c>
      <c r="U211" s="29">
        <f>tbl_Tasks_Clean[[#This Row],[Actual_Cost]]-tbl_Tasks_Clean[[#This Row],[Planned_Cost]]</f>
        <v>2192</v>
      </c>
      <c r="V211" s="30">
        <f>IFERROR(tbl_Tasks_Clean[[#This Row],[Cost_Variance]]/tbl_Tasks_Clean[[#This Row],[Planned_Cost]],0)</f>
        <v>0</v>
      </c>
      <c r="W211" t="str">
        <f>IF(AND(tbl_Tasks_Clean[[#This Row],[Status]]="Completed",tbl_Tasks_Clean[[#This Row],[Delay_Days]]&lt;=0),"On Time",IF(AND(tbl_Tasks_Clean[[#This Row],[Status]]="Completed",tbl_Tasks_Clean[[#This Row],[Delay_Days]]&gt;0),"Late","N/A"))</f>
        <v>On Time</v>
      </c>
      <c r="X211" s="29" t="str" cm="1">
        <f t="array" ref="X211">_xlfn.IFS(tbl_Tasks_Clean[[#This Row],[Planned_Duration_Days]]&lt;=7,"Short (&lt;=7 days)",tbl_Tasks_Clean[[#This Row],[Planned_Duration_Days]]&lt;=20,"Medium (8-20 days)",TRUE,"Long (&gt;20 days)")</f>
        <v>Long (&gt;20 days)</v>
      </c>
      <c r="Y211" s="29" t="str">
        <f>INDEX(Projects!$D:$D,MATCH(tbl_Tasks_Clean[[#This Row],[Project_ID]],Projects!$A:$A,0))</f>
        <v>Nourhan Tarek</v>
      </c>
      <c r="Z211" s="29" t="str">
        <f>IF(tbl_Tasks_Clean[[#This Row],[Delay_Days]]&gt;0,"Delayed by "&amp;TEXT(tbl_Tasks_Clean[[#This Row],[Delay_Days]],"0")&amp;" days",IF(tbl_Tasks_Clean[[#This Row],[Delay_Days]]&lt;0,"Early by "&amp;TEXT(-tbl_Tasks_Clean[[#This Row],[Delay_Days]],"0")&amp;" days","On schedule"))</f>
        <v>Early by 1 days</v>
      </c>
    </row>
    <row r="212" spans="1:26" x14ac:dyDescent="0.3">
      <c r="A212" t="s">
        <v>1107</v>
      </c>
      <c r="B212" t="s">
        <v>133</v>
      </c>
      <c r="C212" t="s">
        <v>134</v>
      </c>
      <c r="D212" t="s">
        <v>1108</v>
      </c>
      <c r="E212" t="s">
        <v>187</v>
      </c>
      <c r="F212" t="s">
        <v>214</v>
      </c>
      <c r="G212" t="s">
        <v>250</v>
      </c>
      <c r="H212" t="s">
        <v>430</v>
      </c>
      <c r="I212">
        <v>4000</v>
      </c>
      <c r="J212">
        <v>0</v>
      </c>
      <c r="K212" s="22">
        <v>45523</v>
      </c>
      <c r="L212" s="22">
        <v>45553</v>
      </c>
      <c r="M212" s="22"/>
      <c r="N212">
        <v>30</v>
      </c>
      <c r="O212">
        <v>0</v>
      </c>
      <c r="P212" t="s">
        <v>111</v>
      </c>
      <c r="Q212" t="s">
        <v>116</v>
      </c>
      <c r="R212">
        <v>200000</v>
      </c>
      <c r="S212" t="s">
        <v>206</v>
      </c>
      <c r="T212">
        <v>180</v>
      </c>
      <c r="U212" s="29">
        <f>tbl_Tasks_Clean[[#This Row],[Actual_Cost]]-tbl_Tasks_Clean[[#This Row],[Planned_Cost]]</f>
        <v>-4000</v>
      </c>
      <c r="V212" s="30">
        <f>IFERROR(tbl_Tasks_Clean[[#This Row],[Cost_Variance]]/tbl_Tasks_Clean[[#This Row],[Planned_Cost]],0)</f>
        <v>-1</v>
      </c>
      <c r="W212" t="str">
        <f>IF(AND(tbl_Tasks_Clean[[#This Row],[Status]]="Completed",tbl_Tasks_Clean[[#This Row],[Delay_Days]]&lt;=0),"On Time",IF(AND(tbl_Tasks_Clean[[#This Row],[Status]]="Completed",tbl_Tasks_Clean[[#This Row],[Delay_Days]]&gt;0),"Late","N/A"))</f>
        <v>N/A</v>
      </c>
      <c r="X212" s="29" t="str" cm="1">
        <f t="array" ref="X212">_xlfn.IFS(tbl_Tasks_Clean[[#This Row],[Planned_Duration_Days]]&lt;=7,"Short (&lt;=7 days)",tbl_Tasks_Clean[[#This Row],[Planned_Duration_Days]]&lt;=20,"Medium (8-20 days)",TRUE,"Long (&gt;20 days)")</f>
        <v>Long (&gt;20 days)</v>
      </c>
      <c r="Y212" s="29" t="str">
        <f>INDEX(Projects!$D:$D,MATCH(tbl_Tasks_Clean[[#This Row],[Project_ID]],Projects!$A:$A,0))</f>
        <v>Nourhan Tarek</v>
      </c>
      <c r="Z212" s="29" t="str">
        <f>IF(tbl_Tasks_Clean[[#This Row],[Delay_Days]]&gt;0,"Delayed by "&amp;TEXT(tbl_Tasks_Clean[[#This Row],[Delay_Days]],"0")&amp;" days",IF(tbl_Tasks_Clean[[#This Row],[Delay_Days]]&lt;0,"Early by "&amp;TEXT(-tbl_Tasks_Clean[[#This Row],[Delay_Days]],"0")&amp;" days","On schedule"))</f>
        <v>On schedule</v>
      </c>
    </row>
    <row r="213" spans="1:26" x14ac:dyDescent="0.3">
      <c r="A213" t="s">
        <v>1109</v>
      </c>
      <c r="B213" t="s">
        <v>109</v>
      </c>
      <c r="C213" t="s">
        <v>110</v>
      </c>
      <c r="D213" t="s">
        <v>1110</v>
      </c>
      <c r="E213" t="s">
        <v>206</v>
      </c>
      <c r="F213" t="s">
        <v>163</v>
      </c>
      <c r="G213" t="s">
        <v>350</v>
      </c>
      <c r="H213" t="s">
        <v>287</v>
      </c>
      <c r="I213">
        <v>5000</v>
      </c>
      <c r="J213">
        <v>3364</v>
      </c>
      <c r="K213" s="22">
        <v>45480</v>
      </c>
      <c r="L213" s="22">
        <v>45484</v>
      </c>
      <c r="M213" s="22"/>
      <c r="N213">
        <v>4</v>
      </c>
      <c r="O213">
        <v>0</v>
      </c>
      <c r="P213" t="s">
        <v>111</v>
      </c>
      <c r="Q213" t="s">
        <v>99</v>
      </c>
      <c r="R213">
        <v>120000</v>
      </c>
      <c r="S213" t="s">
        <v>164</v>
      </c>
      <c r="T213">
        <v>180</v>
      </c>
      <c r="U213" s="29">
        <f>tbl_Tasks_Clean[[#This Row],[Actual_Cost]]-tbl_Tasks_Clean[[#This Row],[Planned_Cost]]</f>
        <v>-1636</v>
      </c>
      <c r="V213" s="30">
        <f>IFERROR(tbl_Tasks_Clean[[#This Row],[Cost_Variance]]/tbl_Tasks_Clean[[#This Row],[Planned_Cost]],0)</f>
        <v>-0.32719999999999999</v>
      </c>
      <c r="W213" t="str">
        <f>IF(AND(tbl_Tasks_Clean[[#This Row],[Status]]="Completed",tbl_Tasks_Clean[[#This Row],[Delay_Days]]&lt;=0),"On Time",IF(AND(tbl_Tasks_Clean[[#This Row],[Status]]="Completed",tbl_Tasks_Clean[[#This Row],[Delay_Days]]&gt;0),"Late","N/A"))</f>
        <v>N/A</v>
      </c>
      <c r="X213" s="29" t="str" cm="1">
        <f t="array" ref="X213">_xlfn.IFS(tbl_Tasks_Clean[[#This Row],[Planned_Duration_Days]]&lt;=7,"Short (&lt;=7 days)",tbl_Tasks_Clean[[#This Row],[Planned_Duration_Days]]&lt;=20,"Medium (8-20 days)",TRUE,"Long (&gt;20 days)")</f>
        <v>Short (&lt;=7 days)</v>
      </c>
      <c r="Y213" s="29" t="str">
        <f>INDEX(Projects!$D:$D,MATCH(tbl_Tasks_Clean[[#This Row],[Project_ID]],Projects!$A:$A,0))</f>
        <v>Laila Samir</v>
      </c>
      <c r="Z213" s="29" t="str">
        <f>IF(tbl_Tasks_Clean[[#This Row],[Delay_Days]]&gt;0,"Delayed by "&amp;TEXT(tbl_Tasks_Clean[[#This Row],[Delay_Days]],"0")&amp;" days",IF(tbl_Tasks_Clean[[#This Row],[Delay_Days]]&lt;0,"Early by "&amp;TEXT(-tbl_Tasks_Clean[[#This Row],[Delay_Days]],"0")&amp;" days","On schedule"))</f>
        <v>On schedule</v>
      </c>
    </row>
    <row r="214" spans="1:26" x14ac:dyDescent="0.3">
      <c r="A214" t="s">
        <v>1113</v>
      </c>
      <c r="B214" t="s">
        <v>129</v>
      </c>
      <c r="C214" t="s">
        <v>130</v>
      </c>
      <c r="D214" t="s">
        <v>306</v>
      </c>
      <c r="E214" t="s">
        <v>206</v>
      </c>
      <c r="F214" t="s">
        <v>205</v>
      </c>
      <c r="G214" t="s">
        <v>281</v>
      </c>
      <c r="H214" t="s">
        <v>287</v>
      </c>
      <c r="I214">
        <v>8000</v>
      </c>
      <c r="J214">
        <v>2896</v>
      </c>
      <c r="K214" s="22"/>
      <c r="L214" s="22"/>
      <c r="M214" s="22"/>
      <c r="O214">
        <v>0</v>
      </c>
      <c r="P214" t="s">
        <v>131</v>
      </c>
      <c r="Q214" t="s">
        <v>94</v>
      </c>
      <c r="R214">
        <v>250000</v>
      </c>
      <c r="S214" t="s">
        <v>206</v>
      </c>
      <c r="T214">
        <v>150</v>
      </c>
      <c r="U214" s="29">
        <f>tbl_Tasks_Clean[[#This Row],[Actual_Cost]]-tbl_Tasks_Clean[[#This Row],[Planned_Cost]]</f>
        <v>-5104</v>
      </c>
      <c r="V214" s="30">
        <f>IFERROR(tbl_Tasks_Clean[[#This Row],[Cost_Variance]]/tbl_Tasks_Clean[[#This Row],[Planned_Cost]],0)</f>
        <v>-0.63800000000000001</v>
      </c>
      <c r="W214" t="str">
        <f>IF(AND(tbl_Tasks_Clean[[#This Row],[Status]]="Completed",tbl_Tasks_Clean[[#This Row],[Delay_Days]]&lt;=0),"On Time",IF(AND(tbl_Tasks_Clean[[#This Row],[Status]]="Completed",tbl_Tasks_Clean[[#This Row],[Delay_Days]]&gt;0),"Late","N/A"))</f>
        <v>N/A</v>
      </c>
      <c r="X214" s="29" t="str" cm="1">
        <f t="array" ref="X214">_xlfn.IFS(tbl_Tasks_Clean[[#This Row],[Planned_Duration_Days]]&lt;=7,"Short (&lt;=7 days)",tbl_Tasks_Clean[[#This Row],[Planned_Duration_Days]]&lt;=20,"Medium (8-20 days)",TRUE,"Long (&gt;20 days)")</f>
        <v>Short (&lt;=7 days)</v>
      </c>
      <c r="Y214" s="29" t="str">
        <f>INDEX(Projects!$D:$D,MATCH(tbl_Tasks_Clean[[#This Row],[Project_ID]],Projects!$A:$A,0))</f>
        <v>Ahmed Nabil</v>
      </c>
      <c r="Z214" s="29" t="str">
        <f>IF(tbl_Tasks_Clean[[#This Row],[Delay_Days]]&gt;0,"Delayed by "&amp;TEXT(tbl_Tasks_Clean[[#This Row],[Delay_Days]],"0")&amp;" days",IF(tbl_Tasks_Clean[[#This Row],[Delay_Days]]&lt;0,"Early by "&amp;TEXT(-tbl_Tasks_Clean[[#This Row],[Delay_Days]],"0")&amp;" days","On schedule"))</f>
        <v>On schedule</v>
      </c>
    </row>
    <row r="215" spans="1:26" x14ac:dyDescent="0.3">
      <c r="A215" t="s">
        <v>1115</v>
      </c>
      <c r="B215" t="s">
        <v>101</v>
      </c>
      <c r="C215" t="s">
        <v>102</v>
      </c>
      <c r="D215" t="s">
        <v>1448</v>
      </c>
      <c r="E215" t="s">
        <v>1435</v>
      </c>
      <c r="F215" t="s">
        <v>214</v>
      </c>
      <c r="G215" t="s">
        <v>350</v>
      </c>
      <c r="H215" t="s">
        <v>314</v>
      </c>
      <c r="I215">
        <v>3000</v>
      </c>
      <c r="J215">
        <v>3036</v>
      </c>
      <c r="K215" s="22">
        <v>45383</v>
      </c>
      <c r="L215" s="22">
        <v>45407</v>
      </c>
      <c r="M215" s="22">
        <v>45406</v>
      </c>
      <c r="N215">
        <v>24</v>
      </c>
      <c r="O215">
        <v>-1</v>
      </c>
      <c r="P215" t="s">
        <v>103</v>
      </c>
      <c r="Q215" t="s">
        <v>94</v>
      </c>
      <c r="R215">
        <v>50000</v>
      </c>
      <c r="S215" t="s">
        <v>206</v>
      </c>
      <c r="T215">
        <v>180</v>
      </c>
      <c r="U215" s="29">
        <f>tbl_Tasks_Clean[[#This Row],[Actual_Cost]]-tbl_Tasks_Clean[[#This Row],[Planned_Cost]]</f>
        <v>36</v>
      </c>
      <c r="V215" s="30">
        <f>IFERROR(tbl_Tasks_Clean[[#This Row],[Cost_Variance]]/tbl_Tasks_Clean[[#This Row],[Planned_Cost]],0)</f>
        <v>1.2E-2</v>
      </c>
      <c r="W215" t="str">
        <f>IF(AND(tbl_Tasks_Clean[[#This Row],[Status]]="Completed",tbl_Tasks_Clean[[#This Row],[Delay_Days]]&lt;=0),"On Time",IF(AND(tbl_Tasks_Clean[[#This Row],[Status]]="Completed",tbl_Tasks_Clean[[#This Row],[Delay_Days]]&gt;0),"Late","N/A"))</f>
        <v>On Time</v>
      </c>
      <c r="X215" s="29" t="str" cm="1">
        <f t="array" ref="X215">_xlfn.IFS(tbl_Tasks_Clean[[#This Row],[Planned_Duration_Days]]&lt;=7,"Short (&lt;=7 days)",tbl_Tasks_Clean[[#This Row],[Planned_Duration_Days]]&lt;=20,"Medium (8-20 days)",TRUE,"Long (&gt;20 days)")</f>
        <v>Long (&gt;20 days)</v>
      </c>
      <c r="Y215" s="29" t="str">
        <f>INDEX(Projects!$D:$D,MATCH(tbl_Tasks_Clean[[#This Row],[Project_ID]],Projects!$A:$A,0))</f>
        <v>Ahmed Nabil</v>
      </c>
      <c r="Z215" s="29" t="str">
        <f>IF(tbl_Tasks_Clean[[#This Row],[Delay_Days]]&gt;0,"Delayed by "&amp;TEXT(tbl_Tasks_Clean[[#This Row],[Delay_Days]],"0")&amp;" days",IF(tbl_Tasks_Clean[[#This Row],[Delay_Days]]&lt;0,"Early by "&amp;TEXT(-tbl_Tasks_Clean[[#This Row],[Delay_Days]],"0")&amp;" days","On schedule"))</f>
        <v>Early by 1 days</v>
      </c>
    </row>
    <row r="216" spans="1:26" x14ac:dyDescent="0.3">
      <c r="A216" t="s">
        <v>1118</v>
      </c>
      <c r="B216" t="s">
        <v>126</v>
      </c>
      <c r="C216" t="s">
        <v>127</v>
      </c>
      <c r="D216" t="s">
        <v>1119</v>
      </c>
      <c r="E216" t="s">
        <v>187</v>
      </c>
      <c r="F216" t="s">
        <v>180</v>
      </c>
      <c r="G216" t="s">
        <v>281</v>
      </c>
      <c r="H216" t="s">
        <v>287</v>
      </c>
      <c r="I216">
        <v>8000</v>
      </c>
      <c r="J216">
        <v>3460</v>
      </c>
      <c r="K216" s="22">
        <v>45414</v>
      </c>
      <c r="L216" s="22">
        <v>45419</v>
      </c>
      <c r="M216" s="22"/>
      <c r="N216">
        <v>5</v>
      </c>
      <c r="O216">
        <v>0</v>
      </c>
      <c r="P216" t="s">
        <v>128</v>
      </c>
      <c r="Q216" t="s">
        <v>94</v>
      </c>
      <c r="R216">
        <v>200000</v>
      </c>
      <c r="S216" t="s">
        <v>177</v>
      </c>
      <c r="T216">
        <v>280</v>
      </c>
      <c r="U216" s="29">
        <f>tbl_Tasks_Clean[[#This Row],[Actual_Cost]]-tbl_Tasks_Clean[[#This Row],[Planned_Cost]]</f>
        <v>-4540</v>
      </c>
      <c r="V216" s="30">
        <f>IFERROR(tbl_Tasks_Clean[[#This Row],[Cost_Variance]]/tbl_Tasks_Clean[[#This Row],[Planned_Cost]],0)</f>
        <v>-0.5675</v>
      </c>
      <c r="W216" t="str">
        <f>IF(AND(tbl_Tasks_Clean[[#This Row],[Status]]="Completed",tbl_Tasks_Clean[[#This Row],[Delay_Days]]&lt;=0),"On Time",IF(AND(tbl_Tasks_Clean[[#This Row],[Status]]="Completed",tbl_Tasks_Clean[[#This Row],[Delay_Days]]&gt;0),"Late","N/A"))</f>
        <v>N/A</v>
      </c>
      <c r="X216" s="29" t="str" cm="1">
        <f t="array" ref="X216">_xlfn.IFS(tbl_Tasks_Clean[[#This Row],[Planned_Duration_Days]]&lt;=7,"Short (&lt;=7 days)",tbl_Tasks_Clean[[#This Row],[Planned_Duration_Days]]&lt;=20,"Medium (8-20 days)",TRUE,"Long (&gt;20 days)")</f>
        <v>Short (&lt;=7 days)</v>
      </c>
      <c r="Y216" s="29" t="str">
        <f>INDEX(Projects!$D:$D,MATCH(tbl_Tasks_Clean[[#This Row],[Project_ID]],Projects!$A:$A,0))</f>
        <v>Ahmed Nabil</v>
      </c>
      <c r="Z216" s="29" t="str">
        <f>IF(tbl_Tasks_Clean[[#This Row],[Delay_Days]]&gt;0,"Delayed by "&amp;TEXT(tbl_Tasks_Clean[[#This Row],[Delay_Days]],"0")&amp;" days",IF(tbl_Tasks_Clean[[#This Row],[Delay_Days]]&lt;0,"Early by "&amp;TEXT(-tbl_Tasks_Clean[[#This Row],[Delay_Days]],"0")&amp;" days","On schedule"))</f>
        <v>On schedule</v>
      </c>
    </row>
    <row r="217" spans="1:26" x14ac:dyDescent="0.3">
      <c r="A217" t="s">
        <v>1122</v>
      </c>
      <c r="B217" t="s">
        <v>113</v>
      </c>
      <c r="C217" t="s">
        <v>114</v>
      </c>
      <c r="D217" t="s">
        <v>1123</v>
      </c>
      <c r="E217" t="s">
        <v>187</v>
      </c>
      <c r="F217" t="s">
        <v>222</v>
      </c>
      <c r="G217" t="s">
        <v>250</v>
      </c>
      <c r="H217" t="s">
        <v>276</v>
      </c>
      <c r="I217">
        <v>5000</v>
      </c>
      <c r="J217">
        <v>0</v>
      </c>
      <c r="K217" s="22"/>
      <c r="L217" s="22"/>
      <c r="M217" s="22"/>
      <c r="O217">
        <v>0</v>
      </c>
      <c r="P217" t="s">
        <v>115</v>
      </c>
      <c r="Q217" t="s">
        <v>116</v>
      </c>
      <c r="R217">
        <v>300000</v>
      </c>
      <c r="S217" t="s">
        <v>219</v>
      </c>
      <c r="T217">
        <v>250</v>
      </c>
      <c r="U217" s="29">
        <f>tbl_Tasks_Clean[[#This Row],[Actual_Cost]]-tbl_Tasks_Clean[[#This Row],[Planned_Cost]]</f>
        <v>-5000</v>
      </c>
      <c r="V217" s="30">
        <f>IFERROR(tbl_Tasks_Clean[[#This Row],[Cost_Variance]]/tbl_Tasks_Clean[[#This Row],[Planned_Cost]],0)</f>
        <v>-1</v>
      </c>
      <c r="W217" t="str">
        <f>IF(AND(tbl_Tasks_Clean[[#This Row],[Status]]="Completed",tbl_Tasks_Clean[[#This Row],[Delay_Days]]&lt;=0),"On Time",IF(AND(tbl_Tasks_Clean[[#This Row],[Status]]="Completed",tbl_Tasks_Clean[[#This Row],[Delay_Days]]&gt;0),"Late","N/A"))</f>
        <v>N/A</v>
      </c>
      <c r="X217" s="29" t="str" cm="1">
        <f t="array" ref="X217">_xlfn.IFS(tbl_Tasks_Clean[[#This Row],[Planned_Duration_Days]]&lt;=7,"Short (&lt;=7 days)",tbl_Tasks_Clean[[#This Row],[Planned_Duration_Days]]&lt;=20,"Medium (8-20 days)",TRUE,"Long (&gt;20 days)")</f>
        <v>Short (&lt;=7 days)</v>
      </c>
      <c r="Y217" s="29" t="str">
        <f>INDEX(Projects!$D:$D,MATCH(tbl_Tasks_Clean[[#This Row],[Project_ID]],Projects!$A:$A,0))</f>
        <v>Nourhan Tarek</v>
      </c>
      <c r="Z217" s="29" t="str">
        <f>IF(tbl_Tasks_Clean[[#This Row],[Delay_Days]]&gt;0,"Delayed by "&amp;TEXT(tbl_Tasks_Clean[[#This Row],[Delay_Days]],"0")&amp;" days",IF(tbl_Tasks_Clean[[#This Row],[Delay_Days]]&lt;0,"Early by "&amp;TEXT(-tbl_Tasks_Clean[[#This Row],[Delay_Days]],"0")&amp;" days","On schedule"))</f>
        <v>On schedule</v>
      </c>
    </row>
    <row r="218" spans="1:26" x14ac:dyDescent="0.3">
      <c r="A218" t="s">
        <v>1125</v>
      </c>
      <c r="B218" t="s">
        <v>129</v>
      </c>
      <c r="C218" t="s">
        <v>130</v>
      </c>
      <c r="D218" t="s">
        <v>1126</v>
      </c>
      <c r="E218" t="s">
        <v>187</v>
      </c>
      <c r="F218" t="s">
        <v>183</v>
      </c>
      <c r="G218" t="s">
        <v>250</v>
      </c>
      <c r="H218" t="s">
        <v>356</v>
      </c>
      <c r="I218">
        <v>1500</v>
      </c>
      <c r="J218">
        <v>1961</v>
      </c>
      <c r="K218" s="22">
        <v>45435</v>
      </c>
      <c r="L218" s="22">
        <v>45444</v>
      </c>
      <c r="M218" s="22">
        <v>45445</v>
      </c>
      <c r="N218">
        <v>9</v>
      </c>
      <c r="O218">
        <v>1</v>
      </c>
      <c r="P218" t="s">
        <v>131</v>
      </c>
      <c r="Q218" t="s">
        <v>94</v>
      </c>
      <c r="R218">
        <v>250000</v>
      </c>
      <c r="S218" t="s">
        <v>177</v>
      </c>
      <c r="T218">
        <v>220</v>
      </c>
      <c r="U218" s="29">
        <f>tbl_Tasks_Clean[[#This Row],[Actual_Cost]]-tbl_Tasks_Clean[[#This Row],[Planned_Cost]]</f>
        <v>461</v>
      </c>
      <c r="V218" s="30">
        <f>IFERROR(tbl_Tasks_Clean[[#This Row],[Cost_Variance]]/tbl_Tasks_Clean[[#This Row],[Planned_Cost]],0)</f>
        <v>0.30733333333333335</v>
      </c>
      <c r="W218" t="str">
        <f>IF(AND(tbl_Tasks_Clean[[#This Row],[Status]]="Completed",tbl_Tasks_Clean[[#This Row],[Delay_Days]]&lt;=0),"On Time",IF(AND(tbl_Tasks_Clean[[#This Row],[Status]]="Completed",tbl_Tasks_Clean[[#This Row],[Delay_Days]]&gt;0),"Late","N/A"))</f>
        <v>N/A</v>
      </c>
      <c r="X218" s="29" t="str" cm="1">
        <f t="array" ref="X218">_xlfn.IFS(tbl_Tasks_Clean[[#This Row],[Planned_Duration_Days]]&lt;=7,"Short (&lt;=7 days)",tbl_Tasks_Clean[[#This Row],[Planned_Duration_Days]]&lt;=20,"Medium (8-20 days)",TRUE,"Long (&gt;20 days)")</f>
        <v>Medium (8-20 days)</v>
      </c>
      <c r="Y218" s="29" t="str">
        <f>INDEX(Projects!$D:$D,MATCH(tbl_Tasks_Clean[[#This Row],[Project_ID]],Projects!$A:$A,0))</f>
        <v>Ahmed Nabil</v>
      </c>
      <c r="Z218" s="29" t="str">
        <f>IF(tbl_Tasks_Clean[[#This Row],[Delay_Days]]&gt;0,"Delayed by "&amp;TEXT(tbl_Tasks_Clean[[#This Row],[Delay_Days]],"0")&amp;" days",IF(tbl_Tasks_Clean[[#This Row],[Delay_Days]]&lt;0,"Early by "&amp;TEXT(-tbl_Tasks_Clean[[#This Row],[Delay_Days]],"0")&amp;" days","On schedule"))</f>
        <v>Delayed by 1 days</v>
      </c>
    </row>
    <row r="219" spans="1:26" x14ac:dyDescent="0.3">
      <c r="A219" t="s">
        <v>1130</v>
      </c>
      <c r="B219" t="s">
        <v>86</v>
      </c>
      <c r="C219" t="s">
        <v>87</v>
      </c>
      <c r="D219" t="s">
        <v>1131</v>
      </c>
      <c r="E219" t="s">
        <v>1435</v>
      </c>
      <c r="F219" t="s">
        <v>224</v>
      </c>
      <c r="G219" t="s">
        <v>281</v>
      </c>
      <c r="H219" t="s">
        <v>487</v>
      </c>
      <c r="I219">
        <v>5000</v>
      </c>
      <c r="J219">
        <v>6487</v>
      </c>
      <c r="K219" s="22">
        <v>45482</v>
      </c>
      <c r="L219" s="22">
        <v>45496</v>
      </c>
      <c r="M219" s="22">
        <v>45502</v>
      </c>
      <c r="N219">
        <v>14</v>
      </c>
      <c r="O219">
        <v>6</v>
      </c>
      <c r="P219" t="s">
        <v>88</v>
      </c>
      <c r="Q219" t="s">
        <v>89</v>
      </c>
      <c r="R219">
        <v>150000</v>
      </c>
      <c r="S219" t="s">
        <v>219</v>
      </c>
      <c r="T219">
        <v>200</v>
      </c>
      <c r="U219" s="29">
        <f>tbl_Tasks_Clean[[#This Row],[Actual_Cost]]-tbl_Tasks_Clean[[#This Row],[Planned_Cost]]</f>
        <v>1487</v>
      </c>
      <c r="V219" s="30">
        <f>IFERROR(tbl_Tasks_Clean[[#This Row],[Cost_Variance]]/tbl_Tasks_Clean[[#This Row],[Planned_Cost]],0)</f>
        <v>0.2974</v>
      </c>
      <c r="W219" t="str">
        <f>IF(AND(tbl_Tasks_Clean[[#This Row],[Status]]="Completed",tbl_Tasks_Clean[[#This Row],[Delay_Days]]&lt;=0),"On Time",IF(AND(tbl_Tasks_Clean[[#This Row],[Status]]="Completed",tbl_Tasks_Clean[[#This Row],[Delay_Days]]&gt;0),"Late","N/A"))</f>
        <v>N/A</v>
      </c>
      <c r="X219" s="29" t="str" cm="1">
        <f t="array" ref="X219">_xlfn.IFS(tbl_Tasks_Clean[[#This Row],[Planned_Duration_Days]]&lt;=7,"Short (&lt;=7 days)",tbl_Tasks_Clean[[#This Row],[Planned_Duration_Days]]&lt;=20,"Medium (8-20 days)",TRUE,"Long (&gt;20 days)")</f>
        <v>Medium (8-20 days)</v>
      </c>
      <c r="Y219" s="29" t="str">
        <f>INDEX(Projects!$D:$D,MATCH(tbl_Tasks_Clean[[#This Row],[Project_ID]],Projects!$A:$A,0))</f>
        <v>Youssef Adel</v>
      </c>
      <c r="Z219" s="29" t="str">
        <f>IF(tbl_Tasks_Clean[[#This Row],[Delay_Days]]&gt;0,"Delayed by "&amp;TEXT(tbl_Tasks_Clean[[#This Row],[Delay_Days]],"0")&amp;" days",IF(tbl_Tasks_Clean[[#This Row],[Delay_Days]]&lt;0,"Early by "&amp;TEXT(-tbl_Tasks_Clean[[#This Row],[Delay_Days]],"0")&amp;" days","On schedule"))</f>
        <v>Delayed by 6 days</v>
      </c>
    </row>
    <row r="220" spans="1:26" x14ac:dyDescent="0.3">
      <c r="A220" t="s">
        <v>1133</v>
      </c>
      <c r="B220" t="s">
        <v>91</v>
      </c>
      <c r="C220" t="s">
        <v>92</v>
      </c>
      <c r="D220" t="s">
        <v>821</v>
      </c>
      <c r="E220" t="s">
        <v>187</v>
      </c>
      <c r="F220" t="s">
        <v>212</v>
      </c>
      <c r="G220" t="s">
        <v>281</v>
      </c>
      <c r="H220" t="s">
        <v>487</v>
      </c>
      <c r="I220">
        <v>10000</v>
      </c>
      <c r="J220">
        <v>11059</v>
      </c>
      <c r="K220" s="22">
        <v>45421</v>
      </c>
      <c r="L220" s="22">
        <v>45447</v>
      </c>
      <c r="M220" s="22">
        <v>45453</v>
      </c>
      <c r="N220">
        <v>26</v>
      </c>
      <c r="O220">
        <v>6</v>
      </c>
      <c r="P220" t="s">
        <v>93</v>
      </c>
      <c r="Q220" t="s">
        <v>94</v>
      </c>
      <c r="R220">
        <v>100000</v>
      </c>
      <c r="S220" t="s">
        <v>206</v>
      </c>
      <c r="T220">
        <v>180</v>
      </c>
      <c r="U220" s="29">
        <f>tbl_Tasks_Clean[[#This Row],[Actual_Cost]]-tbl_Tasks_Clean[[#This Row],[Planned_Cost]]</f>
        <v>1059</v>
      </c>
      <c r="V220" s="30">
        <f>IFERROR(tbl_Tasks_Clean[[#This Row],[Cost_Variance]]/tbl_Tasks_Clean[[#This Row],[Planned_Cost]],0)</f>
        <v>0.10589999999999999</v>
      </c>
      <c r="W220" t="str">
        <f>IF(AND(tbl_Tasks_Clean[[#This Row],[Status]]="Completed",tbl_Tasks_Clean[[#This Row],[Delay_Days]]&lt;=0),"On Time",IF(AND(tbl_Tasks_Clean[[#This Row],[Status]]="Completed",tbl_Tasks_Clean[[#This Row],[Delay_Days]]&gt;0),"Late","N/A"))</f>
        <v>N/A</v>
      </c>
      <c r="X220" s="29" t="str" cm="1">
        <f t="array" ref="X220">_xlfn.IFS(tbl_Tasks_Clean[[#This Row],[Planned_Duration_Days]]&lt;=7,"Short (&lt;=7 days)",tbl_Tasks_Clean[[#This Row],[Planned_Duration_Days]]&lt;=20,"Medium (8-20 days)",TRUE,"Long (&gt;20 days)")</f>
        <v>Long (&gt;20 days)</v>
      </c>
      <c r="Y220" s="29" t="str">
        <f>INDEX(Projects!$D:$D,MATCH(tbl_Tasks_Clean[[#This Row],[Project_ID]],Projects!$A:$A,0))</f>
        <v>Ahmed Nabil</v>
      </c>
      <c r="Z220" s="29" t="str">
        <f>IF(tbl_Tasks_Clean[[#This Row],[Delay_Days]]&gt;0,"Delayed by "&amp;TEXT(tbl_Tasks_Clean[[#This Row],[Delay_Days]],"0")&amp;" days",IF(tbl_Tasks_Clean[[#This Row],[Delay_Days]]&lt;0,"Early by "&amp;TEXT(-tbl_Tasks_Clean[[#This Row],[Delay_Days]],"0")&amp;" days","On schedule"))</f>
        <v>Delayed by 6 days</v>
      </c>
    </row>
    <row r="221" spans="1:26" x14ac:dyDescent="0.3">
      <c r="A221" t="s">
        <v>1135</v>
      </c>
      <c r="B221" t="s">
        <v>86</v>
      </c>
      <c r="C221" t="s">
        <v>87</v>
      </c>
      <c r="D221" t="s">
        <v>1136</v>
      </c>
      <c r="E221" t="s">
        <v>187</v>
      </c>
      <c r="F221" t="s">
        <v>218</v>
      </c>
      <c r="G221" t="s">
        <v>281</v>
      </c>
      <c r="H221" t="s">
        <v>276</v>
      </c>
      <c r="I221">
        <v>4000</v>
      </c>
      <c r="J221">
        <v>0</v>
      </c>
      <c r="K221" s="22">
        <v>45597</v>
      </c>
      <c r="L221" s="22">
        <v>45610</v>
      </c>
      <c r="M221" s="22"/>
      <c r="N221">
        <v>13</v>
      </c>
      <c r="O221">
        <v>0</v>
      </c>
      <c r="P221" t="s">
        <v>88</v>
      </c>
      <c r="Q221" t="s">
        <v>89</v>
      </c>
      <c r="R221">
        <v>150000</v>
      </c>
      <c r="S221" t="s">
        <v>219</v>
      </c>
      <c r="T221">
        <v>250</v>
      </c>
      <c r="U221" s="29">
        <f>tbl_Tasks_Clean[[#This Row],[Actual_Cost]]-tbl_Tasks_Clean[[#This Row],[Planned_Cost]]</f>
        <v>-4000</v>
      </c>
      <c r="V221" s="30">
        <f>IFERROR(tbl_Tasks_Clean[[#This Row],[Cost_Variance]]/tbl_Tasks_Clean[[#This Row],[Planned_Cost]],0)</f>
        <v>-1</v>
      </c>
      <c r="W221" t="str">
        <f>IF(AND(tbl_Tasks_Clean[[#This Row],[Status]]="Completed",tbl_Tasks_Clean[[#This Row],[Delay_Days]]&lt;=0),"On Time",IF(AND(tbl_Tasks_Clean[[#This Row],[Status]]="Completed",tbl_Tasks_Clean[[#This Row],[Delay_Days]]&gt;0),"Late","N/A"))</f>
        <v>N/A</v>
      </c>
      <c r="X221" s="29" t="str" cm="1">
        <f t="array" ref="X221">_xlfn.IFS(tbl_Tasks_Clean[[#This Row],[Planned_Duration_Days]]&lt;=7,"Short (&lt;=7 days)",tbl_Tasks_Clean[[#This Row],[Planned_Duration_Days]]&lt;=20,"Medium (8-20 days)",TRUE,"Long (&gt;20 days)")</f>
        <v>Medium (8-20 days)</v>
      </c>
      <c r="Y221" s="29" t="str">
        <f>INDEX(Projects!$D:$D,MATCH(tbl_Tasks_Clean[[#This Row],[Project_ID]],Projects!$A:$A,0))</f>
        <v>Youssef Adel</v>
      </c>
      <c r="Z221" s="29" t="str">
        <f>IF(tbl_Tasks_Clean[[#This Row],[Delay_Days]]&gt;0,"Delayed by "&amp;TEXT(tbl_Tasks_Clean[[#This Row],[Delay_Days]],"0")&amp;" days",IF(tbl_Tasks_Clean[[#This Row],[Delay_Days]]&lt;0,"Early by "&amp;TEXT(-tbl_Tasks_Clean[[#This Row],[Delay_Days]],"0")&amp;" days","On schedule"))</f>
        <v>On schedule</v>
      </c>
    </row>
    <row r="222" spans="1:26" x14ac:dyDescent="0.3">
      <c r="A222" t="s">
        <v>1138</v>
      </c>
      <c r="B222" t="s">
        <v>91</v>
      </c>
      <c r="C222" t="s">
        <v>92</v>
      </c>
      <c r="D222" t="s">
        <v>644</v>
      </c>
      <c r="E222" t="s">
        <v>206</v>
      </c>
      <c r="F222" t="s">
        <v>190</v>
      </c>
      <c r="G222" t="s">
        <v>350</v>
      </c>
      <c r="H222" t="s">
        <v>314</v>
      </c>
      <c r="I222">
        <v>1500</v>
      </c>
      <c r="J222">
        <v>1602</v>
      </c>
      <c r="K222" s="22">
        <v>45374</v>
      </c>
      <c r="L222" s="22">
        <v>45404</v>
      </c>
      <c r="M222" s="22">
        <v>45404</v>
      </c>
      <c r="N222">
        <v>30</v>
      </c>
      <c r="O222">
        <v>0</v>
      </c>
      <c r="P222" t="s">
        <v>93</v>
      </c>
      <c r="Q222" t="s">
        <v>94</v>
      </c>
      <c r="R222">
        <v>100000</v>
      </c>
      <c r="S222" t="s">
        <v>187</v>
      </c>
      <c r="T222">
        <v>280</v>
      </c>
      <c r="U222" s="29">
        <f>tbl_Tasks_Clean[[#This Row],[Actual_Cost]]-tbl_Tasks_Clean[[#This Row],[Planned_Cost]]</f>
        <v>102</v>
      </c>
      <c r="V222" s="30">
        <f>IFERROR(tbl_Tasks_Clean[[#This Row],[Cost_Variance]]/tbl_Tasks_Clean[[#This Row],[Planned_Cost]],0)</f>
        <v>6.8000000000000005E-2</v>
      </c>
      <c r="W222" t="str">
        <f>IF(AND(tbl_Tasks_Clean[[#This Row],[Status]]="Completed",tbl_Tasks_Clean[[#This Row],[Delay_Days]]&lt;=0),"On Time",IF(AND(tbl_Tasks_Clean[[#This Row],[Status]]="Completed",tbl_Tasks_Clean[[#This Row],[Delay_Days]]&gt;0),"Late","N/A"))</f>
        <v>On Time</v>
      </c>
      <c r="X222" s="29" t="str" cm="1">
        <f t="array" ref="X222">_xlfn.IFS(tbl_Tasks_Clean[[#This Row],[Planned_Duration_Days]]&lt;=7,"Short (&lt;=7 days)",tbl_Tasks_Clean[[#This Row],[Planned_Duration_Days]]&lt;=20,"Medium (8-20 days)",TRUE,"Long (&gt;20 days)")</f>
        <v>Long (&gt;20 days)</v>
      </c>
      <c r="Y222" s="29" t="str">
        <f>INDEX(Projects!$D:$D,MATCH(tbl_Tasks_Clean[[#This Row],[Project_ID]],Projects!$A:$A,0))</f>
        <v>Ahmed Nabil</v>
      </c>
      <c r="Z222" s="29" t="str">
        <f>IF(tbl_Tasks_Clean[[#This Row],[Delay_Days]]&gt;0,"Delayed by "&amp;TEXT(tbl_Tasks_Clean[[#This Row],[Delay_Days]],"0")&amp;" days",IF(tbl_Tasks_Clean[[#This Row],[Delay_Days]]&lt;0,"Early by "&amp;TEXT(-tbl_Tasks_Clean[[#This Row],[Delay_Days]],"0")&amp;" days","On schedule"))</f>
        <v>On schedule</v>
      </c>
    </row>
    <row r="223" spans="1:26" x14ac:dyDescent="0.3">
      <c r="A223" t="s">
        <v>1139</v>
      </c>
      <c r="B223" t="s">
        <v>81</v>
      </c>
      <c r="C223" t="s">
        <v>82</v>
      </c>
      <c r="D223" t="s">
        <v>1009</v>
      </c>
      <c r="E223" t="s">
        <v>197</v>
      </c>
      <c r="F223" t="s">
        <v>183</v>
      </c>
      <c r="G223" t="s">
        <v>250</v>
      </c>
      <c r="H223" t="s">
        <v>314</v>
      </c>
      <c r="I223">
        <v>4000</v>
      </c>
      <c r="J223">
        <v>3468</v>
      </c>
      <c r="K223" s="22"/>
      <c r="L223" s="22"/>
      <c r="M223" s="22"/>
      <c r="O223">
        <v>0</v>
      </c>
      <c r="P223" t="s">
        <v>83</v>
      </c>
      <c r="Q223" t="s">
        <v>84</v>
      </c>
      <c r="R223">
        <v>75000</v>
      </c>
      <c r="S223" t="s">
        <v>177</v>
      </c>
      <c r="T223">
        <v>220</v>
      </c>
      <c r="U223" s="29">
        <f>tbl_Tasks_Clean[[#This Row],[Actual_Cost]]-tbl_Tasks_Clean[[#This Row],[Planned_Cost]]</f>
        <v>-532</v>
      </c>
      <c r="V223" s="30">
        <f>IFERROR(tbl_Tasks_Clean[[#This Row],[Cost_Variance]]/tbl_Tasks_Clean[[#This Row],[Planned_Cost]],0)</f>
        <v>-0.13300000000000001</v>
      </c>
      <c r="W223" t="str">
        <f>IF(AND(tbl_Tasks_Clean[[#This Row],[Status]]="Completed",tbl_Tasks_Clean[[#This Row],[Delay_Days]]&lt;=0),"On Time",IF(AND(tbl_Tasks_Clean[[#This Row],[Status]]="Completed",tbl_Tasks_Clean[[#This Row],[Delay_Days]]&gt;0),"Late","N/A"))</f>
        <v>On Time</v>
      </c>
      <c r="X223" s="29" t="str" cm="1">
        <f t="array" ref="X223">_xlfn.IFS(tbl_Tasks_Clean[[#This Row],[Planned_Duration_Days]]&lt;=7,"Short (&lt;=7 days)",tbl_Tasks_Clean[[#This Row],[Planned_Duration_Days]]&lt;=20,"Medium (8-20 days)",TRUE,"Long (&gt;20 days)")</f>
        <v>Short (&lt;=7 days)</v>
      </c>
      <c r="Y223" s="29" t="str">
        <f>INDEX(Projects!$D:$D,MATCH(tbl_Tasks_Clean[[#This Row],[Project_ID]],Projects!$A:$A,0))</f>
        <v>Mona Farid</v>
      </c>
      <c r="Z223" s="29" t="str">
        <f>IF(tbl_Tasks_Clean[[#This Row],[Delay_Days]]&gt;0,"Delayed by "&amp;TEXT(tbl_Tasks_Clean[[#This Row],[Delay_Days]],"0")&amp;" days",IF(tbl_Tasks_Clean[[#This Row],[Delay_Days]]&lt;0,"Early by "&amp;TEXT(-tbl_Tasks_Clean[[#This Row],[Delay_Days]],"0")&amp;" days","On schedule"))</f>
        <v>On schedule</v>
      </c>
    </row>
    <row r="224" spans="1:26" x14ac:dyDescent="0.3">
      <c r="A224" t="s">
        <v>1143</v>
      </c>
      <c r="B224" t="s">
        <v>126</v>
      </c>
      <c r="C224" t="s">
        <v>127</v>
      </c>
      <c r="D224" t="s">
        <v>1094</v>
      </c>
      <c r="E224" t="s">
        <v>1435</v>
      </c>
      <c r="F224" t="s">
        <v>196</v>
      </c>
      <c r="G224" t="s">
        <v>350</v>
      </c>
      <c r="H224" t="s">
        <v>287</v>
      </c>
      <c r="I224">
        <v>4000</v>
      </c>
      <c r="J224">
        <v>2776</v>
      </c>
      <c r="K224" s="22">
        <v>45397</v>
      </c>
      <c r="L224" s="22">
        <v>45408</v>
      </c>
      <c r="M224" s="22"/>
      <c r="N224">
        <v>11</v>
      </c>
      <c r="O224">
        <v>0</v>
      </c>
      <c r="P224" t="s">
        <v>128</v>
      </c>
      <c r="Q224" t="s">
        <v>94</v>
      </c>
      <c r="R224">
        <v>200000</v>
      </c>
      <c r="S224" t="s">
        <v>197</v>
      </c>
      <c r="T224">
        <v>180</v>
      </c>
      <c r="U224" s="29">
        <f>tbl_Tasks_Clean[[#This Row],[Actual_Cost]]-tbl_Tasks_Clean[[#This Row],[Planned_Cost]]</f>
        <v>-1224</v>
      </c>
      <c r="V224" s="30">
        <f>IFERROR(tbl_Tasks_Clean[[#This Row],[Cost_Variance]]/tbl_Tasks_Clean[[#This Row],[Planned_Cost]],0)</f>
        <v>-0.30599999999999999</v>
      </c>
      <c r="W224" t="str">
        <f>IF(AND(tbl_Tasks_Clean[[#This Row],[Status]]="Completed",tbl_Tasks_Clean[[#This Row],[Delay_Days]]&lt;=0),"On Time",IF(AND(tbl_Tasks_Clean[[#This Row],[Status]]="Completed",tbl_Tasks_Clean[[#This Row],[Delay_Days]]&gt;0),"Late","N/A"))</f>
        <v>N/A</v>
      </c>
      <c r="X224" s="29" t="str" cm="1">
        <f t="array" ref="X224">_xlfn.IFS(tbl_Tasks_Clean[[#This Row],[Planned_Duration_Days]]&lt;=7,"Short (&lt;=7 days)",tbl_Tasks_Clean[[#This Row],[Planned_Duration_Days]]&lt;=20,"Medium (8-20 days)",TRUE,"Long (&gt;20 days)")</f>
        <v>Medium (8-20 days)</v>
      </c>
      <c r="Y224" s="29" t="str">
        <f>INDEX(Projects!$D:$D,MATCH(tbl_Tasks_Clean[[#This Row],[Project_ID]],Projects!$A:$A,0))</f>
        <v>Ahmed Nabil</v>
      </c>
      <c r="Z224" s="29" t="str">
        <f>IF(tbl_Tasks_Clean[[#This Row],[Delay_Days]]&gt;0,"Delayed by "&amp;TEXT(tbl_Tasks_Clean[[#This Row],[Delay_Days]],"0")&amp;" days",IF(tbl_Tasks_Clean[[#This Row],[Delay_Days]]&lt;0,"Early by "&amp;TEXT(-tbl_Tasks_Clean[[#This Row],[Delay_Days]],"0")&amp;" days","On schedule"))</f>
        <v>On schedule</v>
      </c>
    </row>
    <row r="225" spans="1:26" x14ac:dyDescent="0.3">
      <c r="A225" t="s">
        <v>1145</v>
      </c>
      <c r="B225" t="s">
        <v>140</v>
      </c>
      <c r="C225" t="s">
        <v>141</v>
      </c>
      <c r="D225" t="s">
        <v>1078</v>
      </c>
      <c r="E225" t="s">
        <v>164</v>
      </c>
      <c r="F225" t="s">
        <v>186</v>
      </c>
      <c r="G225" t="s">
        <v>250</v>
      </c>
      <c r="H225" t="s">
        <v>356</v>
      </c>
      <c r="I225">
        <v>8000</v>
      </c>
      <c r="J225">
        <v>10129</v>
      </c>
      <c r="K225" s="22"/>
      <c r="L225" s="22"/>
      <c r="M225" s="22"/>
      <c r="O225">
        <v>0</v>
      </c>
      <c r="P225" t="s">
        <v>111</v>
      </c>
      <c r="Q225" t="s">
        <v>116</v>
      </c>
      <c r="R225">
        <v>75000</v>
      </c>
      <c r="S225" t="s">
        <v>187</v>
      </c>
      <c r="T225">
        <v>220</v>
      </c>
      <c r="U225" s="29">
        <f>tbl_Tasks_Clean[[#This Row],[Actual_Cost]]-tbl_Tasks_Clean[[#This Row],[Planned_Cost]]</f>
        <v>2129</v>
      </c>
      <c r="V225" s="30">
        <f>IFERROR(tbl_Tasks_Clean[[#This Row],[Cost_Variance]]/tbl_Tasks_Clean[[#This Row],[Planned_Cost]],0)</f>
        <v>0.266125</v>
      </c>
      <c r="W225" t="str">
        <f>IF(AND(tbl_Tasks_Clean[[#This Row],[Status]]="Completed",tbl_Tasks_Clean[[#This Row],[Delay_Days]]&lt;=0),"On Time",IF(AND(tbl_Tasks_Clean[[#This Row],[Status]]="Completed",tbl_Tasks_Clean[[#This Row],[Delay_Days]]&gt;0),"Late","N/A"))</f>
        <v>N/A</v>
      </c>
      <c r="X225" s="29" t="str" cm="1">
        <f t="array" ref="X225">_xlfn.IFS(tbl_Tasks_Clean[[#This Row],[Planned_Duration_Days]]&lt;=7,"Short (&lt;=7 days)",tbl_Tasks_Clean[[#This Row],[Planned_Duration_Days]]&lt;=20,"Medium (8-20 days)",TRUE,"Long (&gt;20 days)")</f>
        <v>Short (&lt;=7 days)</v>
      </c>
      <c r="Y225" s="29" t="str">
        <f>INDEX(Projects!$D:$D,MATCH(tbl_Tasks_Clean[[#This Row],[Project_ID]],Projects!$A:$A,0))</f>
        <v>Nourhan Tarek</v>
      </c>
      <c r="Z225" s="29" t="str">
        <f>IF(tbl_Tasks_Clean[[#This Row],[Delay_Days]]&gt;0,"Delayed by "&amp;TEXT(tbl_Tasks_Clean[[#This Row],[Delay_Days]],"0")&amp;" days",IF(tbl_Tasks_Clean[[#This Row],[Delay_Days]]&lt;0,"Early by "&amp;TEXT(-tbl_Tasks_Clean[[#This Row],[Delay_Days]],"0")&amp;" days","On schedule"))</f>
        <v>On schedule</v>
      </c>
    </row>
    <row r="226" spans="1:26" x14ac:dyDescent="0.3">
      <c r="A226" t="s">
        <v>1147</v>
      </c>
      <c r="B226" t="s">
        <v>86</v>
      </c>
      <c r="C226" t="s">
        <v>87</v>
      </c>
      <c r="D226" t="s">
        <v>1148</v>
      </c>
      <c r="E226" t="s">
        <v>150</v>
      </c>
      <c r="F226" t="s">
        <v>205</v>
      </c>
      <c r="G226" t="s">
        <v>281</v>
      </c>
      <c r="H226" t="s">
        <v>269</v>
      </c>
      <c r="I226">
        <v>4000</v>
      </c>
      <c r="J226">
        <v>3583</v>
      </c>
      <c r="K226" s="22">
        <v>45571</v>
      </c>
      <c r="L226" s="22">
        <v>45599</v>
      </c>
      <c r="M226" s="22">
        <v>45604</v>
      </c>
      <c r="N226">
        <v>28</v>
      </c>
      <c r="O226">
        <v>5</v>
      </c>
      <c r="P226" t="s">
        <v>88</v>
      </c>
      <c r="Q226" t="s">
        <v>89</v>
      </c>
      <c r="R226">
        <v>150000</v>
      </c>
      <c r="S226" t="s">
        <v>206</v>
      </c>
      <c r="T226">
        <v>150</v>
      </c>
      <c r="U226" s="29">
        <f>tbl_Tasks_Clean[[#This Row],[Actual_Cost]]-tbl_Tasks_Clean[[#This Row],[Planned_Cost]]</f>
        <v>-417</v>
      </c>
      <c r="V226" s="30">
        <f>IFERROR(tbl_Tasks_Clean[[#This Row],[Cost_Variance]]/tbl_Tasks_Clean[[#This Row],[Planned_Cost]],0)</f>
        <v>-0.10425</v>
      </c>
      <c r="W226" t="str">
        <f>IF(AND(tbl_Tasks_Clean[[#This Row],[Status]]="Completed",tbl_Tasks_Clean[[#This Row],[Delay_Days]]&lt;=0),"On Time",IF(AND(tbl_Tasks_Clean[[#This Row],[Status]]="Completed",tbl_Tasks_Clean[[#This Row],[Delay_Days]]&gt;0),"Late","N/A"))</f>
        <v>N/A</v>
      </c>
      <c r="X226" s="29" t="str" cm="1">
        <f t="array" ref="X226">_xlfn.IFS(tbl_Tasks_Clean[[#This Row],[Planned_Duration_Days]]&lt;=7,"Short (&lt;=7 days)",tbl_Tasks_Clean[[#This Row],[Planned_Duration_Days]]&lt;=20,"Medium (8-20 days)",TRUE,"Long (&gt;20 days)")</f>
        <v>Long (&gt;20 days)</v>
      </c>
      <c r="Y226" s="29" t="str">
        <f>INDEX(Projects!$D:$D,MATCH(tbl_Tasks_Clean[[#This Row],[Project_ID]],Projects!$A:$A,0))</f>
        <v>Youssef Adel</v>
      </c>
      <c r="Z226" s="29" t="str">
        <f>IF(tbl_Tasks_Clean[[#This Row],[Delay_Days]]&gt;0,"Delayed by "&amp;TEXT(tbl_Tasks_Clean[[#This Row],[Delay_Days]],"0")&amp;" days",IF(tbl_Tasks_Clean[[#This Row],[Delay_Days]]&lt;0,"Early by "&amp;TEXT(-tbl_Tasks_Clean[[#This Row],[Delay_Days]],"0")&amp;" days","On schedule"))</f>
        <v>Delayed by 5 days</v>
      </c>
    </row>
    <row r="227" spans="1:26" x14ac:dyDescent="0.3">
      <c r="A227" t="s">
        <v>1151</v>
      </c>
      <c r="B227" t="s">
        <v>126</v>
      </c>
      <c r="C227" t="s">
        <v>127</v>
      </c>
      <c r="D227" t="s">
        <v>1152</v>
      </c>
      <c r="E227" t="s">
        <v>187</v>
      </c>
      <c r="F227" t="s">
        <v>158</v>
      </c>
      <c r="G227" t="s">
        <v>350</v>
      </c>
      <c r="H227" t="s">
        <v>287</v>
      </c>
      <c r="I227">
        <v>10000</v>
      </c>
      <c r="J227">
        <v>4882</v>
      </c>
      <c r="K227" s="22">
        <v>45369</v>
      </c>
      <c r="L227" s="22">
        <v>45381</v>
      </c>
      <c r="M227" s="22"/>
      <c r="N227">
        <v>12</v>
      </c>
      <c r="O227">
        <v>0</v>
      </c>
      <c r="P227" t="s">
        <v>128</v>
      </c>
      <c r="Q227" t="s">
        <v>94</v>
      </c>
      <c r="R227">
        <v>200000</v>
      </c>
      <c r="S227" t="s">
        <v>150</v>
      </c>
      <c r="T227">
        <v>180</v>
      </c>
      <c r="U227" s="29">
        <f>tbl_Tasks_Clean[[#This Row],[Actual_Cost]]-tbl_Tasks_Clean[[#This Row],[Planned_Cost]]</f>
        <v>-5118</v>
      </c>
      <c r="V227" s="30">
        <f>IFERROR(tbl_Tasks_Clean[[#This Row],[Cost_Variance]]/tbl_Tasks_Clean[[#This Row],[Planned_Cost]],0)</f>
        <v>-0.51180000000000003</v>
      </c>
      <c r="W227" t="str">
        <f>IF(AND(tbl_Tasks_Clean[[#This Row],[Status]]="Completed",tbl_Tasks_Clean[[#This Row],[Delay_Days]]&lt;=0),"On Time",IF(AND(tbl_Tasks_Clean[[#This Row],[Status]]="Completed",tbl_Tasks_Clean[[#This Row],[Delay_Days]]&gt;0),"Late","N/A"))</f>
        <v>N/A</v>
      </c>
      <c r="X227" s="29" t="str" cm="1">
        <f t="array" ref="X227">_xlfn.IFS(tbl_Tasks_Clean[[#This Row],[Planned_Duration_Days]]&lt;=7,"Short (&lt;=7 days)",tbl_Tasks_Clean[[#This Row],[Planned_Duration_Days]]&lt;=20,"Medium (8-20 days)",TRUE,"Long (&gt;20 days)")</f>
        <v>Medium (8-20 days)</v>
      </c>
      <c r="Y227" s="29" t="str">
        <f>INDEX(Projects!$D:$D,MATCH(tbl_Tasks_Clean[[#This Row],[Project_ID]],Projects!$A:$A,0))</f>
        <v>Ahmed Nabil</v>
      </c>
      <c r="Z227" s="29" t="str">
        <f>IF(tbl_Tasks_Clean[[#This Row],[Delay_Days]]&gt;0,"Delayed by "&amp;TEXT(tbl_Tasks_Clean[[#This Row],[Delay_Days]],"0")&amp;" days",IF(tbl_Tasks_Clean[[#This Row],[Delay_Days]]&lt;0,"Early by "&amp;TEXT(-tbl_Tasks_Clean[[#This Row],[Delay_Days]],"0")&amp;" days","On schedule"))</f>
        <v>On schedule</v>
      </c>
    </row>
    <row r="228" spans="1:26" x14ac:dyDescent="0.3">
      <c r="A228" t="s">
        <v>1155</v>
      </c>
      <c r="B228" t="s">
        <v>81</v>
      </c>
      <c r="C228" t="s">
        <v>82</v>
      </c>
      <c r="D228" t="s">
        <v>1110</v>
      </c>
      <c r="E228" t="s">
        <v>177</v>
      </c>
      <c r="F228" t="s">
        <v>224</v>
      </c>
      <c r="G228" t="s">
        <v>250</v>
      </c>
      <c r="H228" t="s">
        <v>314</v>
      </c>
      <c r="I228">
        <v>1500</v>
      </c>
      <c r="J228">
        <v>1716</v>
      </c>
      <c r="K228" s="22">
        <v>45519</v>
      </c>
      <c r="L228" s="22">
        <v>45549</v>
      </c>
      <c r="M228" s="22">
        <v>45546</v>
      </c>
      <c r="N228">
        <v>30</v>
      </c>
      <c r="O228">
        <v>-3</v>
      </c>
      <c r="P228" t="s">
        <v>83</v>
      </c>
      <c r="Q228" t="s">
        <v>84</v>
      </c>
      <c r="R228">
        <v>75000</v>
      </c>
      <c r="S228" t="s">
        <v>219</v>
      </c>
      <c r="T228">
        <v>200</v>
      </c>
      <c r="U228" s="29">
        <f>tbl_Tasks_Clean[[#This Row],[Actual_Cost]]-tbl_Tasks_Clean[[#This Row],[Planned_Cost]]</f>
        <v>216</v>
      </c>
      <c r="V228" s="30">
        <f>IFERROR(tbl_Tasks_Clean[[#This Row],[Cost_Variance]]/tbl_Tasks_Clean[[#This Row],[Planned_Cost]],0)</f>
        <v>0.14399999999999999</v>
      </c>
      <c r="W228" t="str">
        <f>IF(AND(tbl_Tasks_Clean[[#This Row],[Status]]="Completed",tbl_Tasks_Clean[[#This Row],[Delay_Days]]&lt;=0),"On Time",IF(AND(tbl_Tasks_Clean[[#This Row],[Status]]="Completed",tbl_Tasks_Clean[[#This Row],[Delay_Days]]&gt;0),"Late","N/A"))</f>
        <v>On Time</v>
      </c>
      <c r="X228" s="29" t="str" cm="1">
        <f t="array" ref="X228">_xlfn.IFS(tbl_Tasks_Clean[[#This Row],[Planned_Duration_Days]]&lt;=7,"Short (&lt;=7 days)",tbl_Tasks_Clean[[#This Row],[Planned_Duration_Days]]&lt;=20,"Medium (8-20 days)",TRUE,"Long (&gt;20 days)")</f>
        <v>Long (&gt;20 days)</v>
      </c>
      <c r="Y228" s="29" t="str">
        <f>INDEX(Projects!$D:$D,MATCH(tbl_Tasks_Clean[[#This Row],[Project_ID]],Projects!$A:$A,0))</f>
        <v>Mona Farid</v>
      </c>
      <c r="Z228" s="29" t="str">
        <f>IF(tbl_Tasks_Clean[[#This Row],[Delay_Days]]&gt;0,"Delayed by "&amp;TEXT(tbl_Tasks_Clean[[#This Row],[Delay_Days]],"0")&amp;" days",IF(tbl_Tasks_Clean[[#This Row],[Delay_Days]]&lt;0,"Early by "&amp;TEXT(-tbl_Tasks_Clean[[#This Row],[Delay_Days]],"0")&amp;" days","On schedule"))</f>
        <v>Early by 3 days</v>
      </c>
    </row>
    <row r="229" spans="1:26" x14ac:dyDescent="0.3">
      <c r="A229" t="s">
        <v>1158</v>
      </c>
      <c r="B229" t="s">
        <v>81</v>
      </c>
      <c r="C229" t="s">
        <v>82</v>
      </c>
      <c r="D229" t="s">
        <v>1159</v>
      </c>
      <c r="E229" t="s">
        <v>197</v>
      </c>
      <c r="F229" t="s">
        <v>176</v>
      </c>
      <c r="G229" t="s">
        <v>1443</v>
      </c>
      <c r="H229" t="s">
        <v>287</v>
      </c>
      <c r="I229">
        <v>1500</v>
      </c>
      <c r="J229">
        <v>1154</v>
      </c>
      <c r="K229" s="22">
        <v>45548</v>
      </c>
      <c r="L229" s="22">
        <v>45564</v>
      </c>
      <c r="M229" s="22"/>
      <c r="N229">
        <v>16</v>
      </c>
      <c r="O229">
        <v>0</v>
      </c>
      <c r="P229" t="s">
        <v>83</v>
      </c>
      <c r="Q229" t="s">
        <v>84</v>
      </c>
      <c r="R229">
        <v>75000</v>
      </c>
      <c r="S229" t="s">
        <v>177</v>
      </c>
      <c r="T229">
        <v>250</v>
      </c>
      <c r="U229" s="29">
        <f>tbl_Tasks_Clean[[#This Row],[Actual_Cost]]-tbl_Tasks_Clean[[#This Row],[Planned_Cost]]</f>
        <v>-346</v>
      </c>
      <c r="V229" s="30">
        <f>IFERROR(tbl_Tasks_Clean[[#This Row],[Cost_Variance]]/tbl_Tasks_Clean[[#This Row],[Planned_Cost]],0)</f>
        <v>-0.23066666666666666</v>
      </c>
      <c r="W229" t="str">
        <f>IF(AND(tbl_Tasks_Clean[[#This Row],[Status]]="Completed",tbl_Tasks_Clean[[#This Row],[Delay_Days]]&lt;=0),"On Time",IF(AND(tbl_Tasks_Clean[[#This Row],[Status]]="Completed",tbl_Tasks_Clean[[#This Row],[Delay_Days]]&gt;0),"Late","N/A"))</f>
        <v>N/A</v>
      </c>
      <c r="X229" s="29" t="str" cm="1">
        <f t="array" ref="X229">_xlfn.IFS(tbl_Tasks_Clean[[#This Row],[Planned_Duration_Days]]&lt;=7,"Short (&lt;=7 days)",tbl_Tasks_Clean[[#This Row],[Planned_Duration_Days]]&lt;=20,"Medium (8-20 days)",TRUE,"Long (&gt;20 days)")</f>
        <v>Medium (8-20 days)</v>
      </c>
      <c r="Y229" s="29" t="str">
        <f>INDEX(Projects!$D:$D,MATCH(tbl_Tasks_Clean[[#This Row],[Project_ID]],Projects!$A:$A,0))</f>
        <v>Mona Farid</v>
      </c>
      <c r="Z229" s="29" t="str">
        <f>IF(tbl_Tasks_Clean[[#This Row],[Delay_Days]]&gt;0,"Delayed by "&amp;TEXT(tbl_Tasks_Clean[[#This Row],[Delay_Days]],"0")&amp;" days",IF(tbl_Tasks_Clean[[#This Row],[Delay_Days]]&lt;0,"Early by "&amp;TEXT(-tbl_Tasks_Clean[[#This Row],[Delay_Days]],"0")&amp;" days","On schedule"))</f>
        <v>On schedule</v>
      </c>
    </row>
    <row r="230" spans="1:26" x14ac:dyDescent="0.3">
      <c r="A230" t="s">
        <v>1162</v>
      </c>
      <c r="B230" t="s">
        <v>118</v>
      </c>
      <c r="C230" t="s">
        <v>119</v>
      </c>
      <c r="D230" t="s">
        <v>1090</v>
      </c>
      <c r="E230" t="s">
        <v>206</v>
      </c>
      <c r="F230" t="s">
        <v>190</v>
      </c>
      <c r="G230" t="s">
        <v>250</v>
      </c>
      <c r="H230" t="s">
        <v>269</v>
      </c>
      <c r="I230">
        <v>2000</v>
      </c>
      <c r="J230">
        <v>1840</v>
      </c>
      <c r="K230" s="22">
        <v>45418</v>
      </c>
      <c r="L230" s="22">
        <v>45430</v>
      </c>
      <c r="M230" s="22">
        <v>45431</v>
      </c>
      <c r="N230">
        <v>12</v>
      </c>
      <c r="O230">
        <v>1</v>
      </c>
      <c r="P230" t="s">
        <v>120</v>
      </c>
      <c r="Q230" t="s">
        <v>99</v>
      </c>
      <c r="R230">
        <v>100000</v>
      </c>
      <c r="S230" t="s">
        <v>187</v>
      </c>
      <c r="T230">
        <v>280</v>
      </c>
      <c r="U230" s="29">
        <f>tbl_Tasks_Clean[[#This Row],[Actual_Cost]]-tbl_Tasks_Clean[[#This Row],[Planned_Cost]]</f>
        <v>-160</v>
      </c>
      <c r="V230" s="30">
        <f>IFERROR(tbl_Tasks_Clean[[#This Row],[Cost_Variance]]/tbl_Tasks_Clean[[#This Row],[Planned_Cost]],0)</f>
        <v>-0.08</v>
      </c>
      <c r="W230" t="str">
        <f>IF(AND(tbl_Tasks_Clean[[#This Row],[Status]]="Completed",tbl_Tasks_Clean[[#This Row],[Delay_Days]]&lt;=0),"On Time",IF(AND(tbl_Tasks_Clean[[#This Row],[Status]]="Completed",tbl_Tasks_Clean[[#This Row],[Delay_Days]]&gt;0),"Late","N/A"))</f>
        <v>N/A</v>
      </c>
      <c r="X230" s="29" t="str" cm="1">
        <f t="array" ref="X230">_xlfn.IFS(tbl_Tasks_Clean[[#This Row],[Planned_Duration_Days]]&lt;=7,"Short (&lt;=7 days)",tbl_Tasks_Clean[[#This Row],[Planned_Duration_Days]]&lt;=20,"Medium (8-20 days)",TRUE,"Long (&gt;20 days)")</f>
        <v>Medium (8-20 days)</v>
      </c>
      <c r="Y230" s="29" t="str">
        <f>INDEX(Projects!$D:$D,MATCH(tbl_Tasks_Clean[[#This Row],[Project_ID]],Projects!$A:$A,0))</f>
        <v>Laila Samir</v>
      </c>
      <c r="Z230" s="29" t="str">
        <f>IF(tbl_Tasks_Clean[[#This Row],[Delay_Days]]&gt;0,"Delayed by "&amp;TEXT(tbl_Tasks_Clean[[#This Row],[Delay_Days]],"0")&amp;" days",IF(tbl_Tasks_Clean[[#This Row],[Delay_Days]]&lt;0,"Early by "&amp;TEXT(-tbl_Tasks_Clean[[#This Row],[Delay_Days]],"0")&amp;" days","On schedule"))</f>
        <v>Delayed by 1 days</v>
      </c>
    </row>
    <row r="231" spans="1:26" x14ac:dyDescent="0.3">
      <c r="A231" t="s">
        <v>1165</v>
      </c>
      <c r="B231" t="s">
        <v>109</v>
      </c>
      <c r="C231" t="s">
        <v>110</v>
      </c>
      <c r="D231" t="s">
        <v>1058</v>
      </c>
      <c r="E231" t="s">
        <v>1435</v>
      </c>
      <c r="F231" t="s">
        <v>153</v>
      </c>
      <c r="G231" t="s">
        <v>350</v>
      </c>
      <c r="H231" t="s">
        <v>356</v>
      </c>
      <c r="I231">
        <v>1500</v>
      </c>
      <c r="J231">
        <v>1618</v>
      </c>
      <c r="K231" s="22">
        <v>45543</v>
      </c>
      <c r="L231" s="22">
        <v>45557</v>
      </c>
      <c r="M231" s="22">
        <v>45559</v>
      </c>
      <c r="N231">
        <v>14</v>
      </c>
      <c r="O231">
        <v>2</v>
      </c>
      <c r="P231" t="s">
        <v>111</v>
      </c>
      <c r="Q231" t="s">
        <v>99</v>
      </c>
      <c r="R231">
        <v>120000</v>
      </c>
      <c r="S231" t="s">
        <v>150</v>
      </c>
      <c r="T231">
        <v>220</v>
      </c>
      <c r="U231" s="29">
        <f>tbl_Tasks_Clean[[#This Row],[Actual_Cost]]-tbl_Tasks_Clean[[#This Row],[Planned_Cost]]</f>
        <v>118</v>
      </c>
      <c r="V231" s="30">
        <f>IFERROR(tbl_Tasks_Clean[[#This Row],[Cost_Variance]]/tbl_Tasks_Clean[[#This Row],[Planned_Cost]],0)</f>
        <v>7.8666666666666663E-2</v>
      </c>
      <c r="W231" t="str">
        <f>IF(AND(tbl_Tasks_Clean[[#This Row],[Status]]="Completed",tbl_Tasks_Clean[[#This Row],[Delay_Days]]&lt;=0),"On Time",IF(AND(tbl_Tasks_Clean[[#This Row],[Status]]="Completed",tbl_Tasks_Clean[[#This Row],[Delay_Days]]&gt;0),"Late","N/A"))</f>
        <v>N/A</v>
      </c>
      <c r="X231" s="29" t="str" cm="1">
        <f t="array" ref="X231">_xlfn.IFS(tbl_Tasks_Clean[[#This Row],[Planned_Duration_Days]]&lt;=7,"Short (&lt;=7 days)",tbl_Tasks_Clean[[#This Row],[Planned_Duration_Days]]&lt;=20,"Medium (8-20 days)",TRUE,"Long (&gt;20 days)")</f>
        <v>Medium (8-20 days)</v>
      </c>
      <c r="Y231" s="29" t="str">
        <f>INDEX(Projects!$D:$D,MATCH(tbl_Tasks_Clean[[#This Row],[Project_ID]],Projects!$A:$A,0))</f>
        <v>Laila Samir</v>
      </c>
      <c r="Z231" s="29" t="str">
        <f>IF(tbl_Tasks_Clean[[#This Row],[Delay_Days]]&gt;0,"Delayed by "&amp;TEXT(tbl_Tasks_Clean[[#This Row],[Delay_Days]],"0")&amp;" days",IF(tbl_Tasks_Clean[[#This Row],[Delay_Days]]&lt;0,"Early by "&amp;TEXT(-tbl_Tasks_Clean[[#This Row],[Delay_Days]],"0")&amp;" days","On schedule"))</f>
        <v>Delayed by 2 days</v>
      </c>
    </row>
    <row r="232" spans="1:26" x14ac:dyDescent="0.3">
      <c r="A232" t="s">
        <v>1168</v>
      </c>
      <c r="B232" t="s">
        <v>86</v>
      </c>
      <c r="C232" t="s">
        <v>87</v>
      </c>
      <c r="D232" t="s">
        <v>1169</v>
      </c>
      <c r="E232" t="s">
        <v>164</v>
      </c>
      <c r="F232" t="s">
        <v>190</v>
      </c>
      <c r="G232" t="s">
        <v>250</v>
      </c>
      <c r="H232" t="s">
        <v>287</v>
      </c>
      <c r="I232">
        <v>5000</v>
      </c>
      <c r="J232">
        <v>1993</v>
      </c>
      <c r="K232" s="22">
        <v>45497</v>
      </c>
      <c r="L232" s="22">
        <v>45513</v>
      </c>
      <c r="M232" s="22"/>
      <c r="N232">
        <v>16</v>
      </c>
      <c r="O232">
        <v>0</v>
      </c>
      <c r="P232" t="s">
        <v>88</v>
      </c>
      <c r="Q232" t="s">
        <v>89</v>
      </c>
      <c r="R232">
        <v>150000</v>
      </c>
      <c r="S232" t="s">
        <v>187</v>
      </c>
      <c r="T232">
        <v>280</v>
      </c>
      <c r="U232" s="29">
        <f>tbl_Tasks_Clean[[#This Row],[Actual_Cost]]-tbl_Tasks_Clean[[#This Row],[Planned_Cost]]</f>
        <v>-3007</v>
      </c>
      <c r="V232" s="30">
        <f>IFERROR(tbl_Tasks_Clean[[#This Row],[Cost_Variance]]/tbl_Tasks_Clean[[#This Row],[Planned_Cost]],0)</f>
        <v>-0.60140000000000005</v>
      </c>
      <c r="W232" t="str">
        <f>IF(AND(tbl_Tasks_Clean[[#This Row],[Status]]="Completed",tbl_Tasks_Clean[[#This Row],[Delay_Days]]&lt;=0),"On Time",IF(AND(tbl_Tasks_Clean[[#This Row],[Status]]="Completed",tbl_Tasks_Clean[[#This Row],[Delay_Days]]&gt;0),"Late","N/A"))</f>
        <v>N/A</v>
      </c>
      <c r="X232" s="29" t="str" cm="1">
        <f t="array" ref="X232">_xlfn.IFS(tbl_Tasks_Clean[[#This Row],[Planned_Duration_Days]]&lt;=7,"Short (&lt;=7 days)",tbl_Tasks_Clean[[#This Row],[Planned_Duration_Days]]&lt;=20,"Medium (8-20 days)",TRUE,"Long (&gt;20 days)")</f>
        <v>Medium (8-20 days)</v>
      </c>
      <c r="Y232" s="29" t="str">
        <f>INDEX(Projects!$D:$D,MATCH(tbl_Tasks_Clean[[#This Row],[Project_ID]],Projects!$A:$A,0))</f>
        <v>Youssef Adel</v>
      </c>
      <c r="Z232" s="29" t="str">
        <f>IF(tbl_Tasks_Clean[[#This Row],[Delay_Days]]&gt;0,"Delayed by "&amp;TEXT(tbl_Tasks_Clean[[#This Row],[Delay_Days]],"0")&amp;" days",IF(tbl_Tasks_Clean[[#This Row],[Delay_Days]]&lt;0,"Early by "&amp;TEXT(-tbl_Tasks_Clean[[#This Row],[Delay_Days]],"0")&amp;" days","On schedule"))</f>
        <v>On schedule</v>
      </c>
    </row>
    <row r="233" spans="1:26" x14ac:dyDescent="0.3">
      <c r="A233" t="s">
        <v>1171</v>
      </c>
      <c r="B233" t="s">
        <v>129</v>
      </c>
      <c r="C233" t="s">
        <v>130</v>
      </c>
      <c r="D233" t="s">
        <v>1172</v>
      </c>
      <c r="E233" t="s">
        <v>1435</v>
      </c>
      <c r="F233" t="s">
        <v>212</v>
      </c>
      <c r="G233" t="s">
        <v>250</v>
      </c>
      <c r="H233" t="s">
        <v>269</v>
      </c>
      <c r="I233">
        <v>6000</v>
      </c>
      <c r="J233">
        <v>5652</v>
      </c>
      <c r="K233" s="22">
        <v>45425</v>
      </c>
      <c r="L233" s="22">
        <v>45449</v>
      </c>
      <c r="M233" s="22">
        <v>45453</v>
      </c>
      <c r="N233">
        <v>24</v>
      </c>
      <c r="O233">
        <v>4</v>
      </c>
      <c r="P233" t="s">
        <v>131</v>
      </c>
      <c r="Q233" t="s">
        <v>94</v>
      </c>
      <c r="R233">
        <v>250000</v>
      </c>
      <c r="S233" t="s">
        <v>206</v>
      </c>
      <c r="T233">
        <v>180</v>
      </c>
      <c r="U233" s="29">
        <f>tbl_Tasks_Clean[[#This Row],[Actual_Cost]]-tbl_Tasks_Clean[[#This Row],[Planned_Cost]]</f>
        <v>-348</v>
      </c>
      <c r="V233" s="30">
        <f>IFERROR(tbl_Tasks_Clean[[#This Row],[Cost_Variance]]/tbl_Tasks_Clean[[#This Row],[Planned_Cost]],0)</f>
        <v>-5.8000000000000003E-2</v>
      </c>
      <c r="W233" t="str">
        <f>IF(AND(tbl_Tasks_Clean[[#This Row],[Status]]="Completed",tbl_Tasks_Clean[[#This Row],[Delay_Days]]&lt;=0),"On Time",IF(AND(tbl_Tasks_Clean[[#This Row],[Status]]="Completed",tbl_Tasks_Clean[[#This Row],[Delay_Days]]&gt;0),"Late","N/A"))</f>
        <v>N/A</v>
      </c>
      <c r="X233" s="29" t="str" cm="1">
        <f t="array" ref="X233">_xlfn.IFS(tbl_Tasks_Clean[[#This Row],[Planned_Duration_Days]]&lt;=7,"Short (&lt;=7 days)",tbl_Tasks_Clean[[#This Row],[Planned_Duration_Days]]&lt;=20,"Medium (8-20 days)",TRUE,"Long (&gt;20 days)")</f>
        <v>Long (&gt;20 days)</v>
      </c>
      <c r="Y233" s="29" t="str">
        <f>INDEX(Projects!$D:$D,MATCH(tbl_Tasks_Clean[[#This Row],[Project_ID]],Projects!$A:$A,0))</f>
        <v>Ahmed Nabil</v>
      </c>
      <c r="Z233" s="29" t="str">
        <f>IF(tbl_Tasks_Clean[[#This Row],[Delay_Days]]&gt;0,"Delayed by "&amp;TEXT(tbl_Tasks_Clean[[#This Row],[Delay_Days]],"0")&amp;" days",IF(tbl_Tasks_Clean[[#This Row],[Delay_Days]]&lt;0,"Early by "&amp;TEXT(-tbl_Tasks_Clean[[#This Row],[Delay_Days]],"0")&amp;" days","On schedule"))</f>
        <v>Delayed by 4 days</v>
      </c>
    </row>
    <row r="234" spans="1:26" x14ac:dyDescent="0.3">
      <c r="A234" t="s">
        <v>1175</v>
      </c>
      <c r="B234" t="s">
        <v>133</v>
      </c>
      <c r="C234" t="s">
        <v>134</v>
      </c>
      <c r="D234" t="s">
        <v>1016</v>
      </c>
      <c r="E234" t="s">
        <v>1435</v>
      </c>
      <c r="F234" t="s">
        <v>153</v>
      </c>
      <c r="G234" t="s">
        <v>281</v>
      </c>
      <c r="H234" t="s">
        <v>314</v>
      </c>
      <c r="I234">
        <v>4000</v>
      </c>
      <c r="J234">
        <v>5504</v>
      </c>
      <c r="K234" s="22">
        <v>45489</v>
      </c>
      <c r="L234" s="22">
        <v>45517</v>
      </c>
      <c r="M234" s="22">
        <v>45519</v>
      </c>
      <c r="N234">
        <v>28</v>
      </c>
      <c r="O234">
        <v>2</v>
      </c>
      <c r="P234" t="s">
        <v>111</v>
      </c>
      <c r="Q234" t="s">
        <v>116</v>
      </c>
      <c r="R234">
        <v>200000</v>
      </c>
      <c r="S234" t="s">
        <v>150</v>
      </c>
      <c r="T234">
        <v>220</v>
      </c>
      <c r="U234" s="29">
        <f>tbl_Tasks_Clean[[#This Row],[Actual_Cost]]-tbl_Tasks_Clean[[#This Row],[Planned_Cost]]</f>
        <v>1504</v>
      </c>
      <c r="V234" s="30">
        <f>IFERROR(tbl_Tasks_Clean[[#This Row],[Cost_Variance]]/tbl_Tasks_Clean[[#This Row],[Planned_Cost]],0)</f>
        <v>0.376</v>
      </c>
      <c r="W234" t="str">
        <f>IF(AND(tbl_Tasks_Clean[[#This Row],[Status]]="Completed",tbl_Tasks_Clean[[#This Row],[Delay_Days]]&lt;=0),"On Time",IF(AND(tbl_Tasks_Clean[[#This Row],[Status]]="Completed",tbl_Tasks_Clean[[#This Row],[Delay_Days]]&gt;0),"Late","N/A"))</f>
        <v>Late</v>
      </c>
      <c r="X234" s="29" t="str" cm="1">
        <f t="array" ref="X234">_xlfn.IFS(tbl_Tasks_Clean[[#This Row],[Planned_Duration_Days]]&lt;=7,"Short (&lt;=7 days)",tbl_Tasks_Clean[[#This Row],[Planned_Duration_Days]]&lt;=20,"Medium (8-20 days)",TRUE,"Long (&gt;20 days)")</f>
        <v>Long (&gt;20 days)</v>
      </c>
      <c r="Y234" s="29" t="str">
        <f>INDEX(Projects!$D:$D,MATCH(tbl_Tasks_Clean[[#This Row],[Project_ID]],Projects!$A:$A,0))</f>
        <v>Nourhan Tarek</v>
      </c>
      <c r="Z234" s="29" t="str">
        <f>IF(tbl_Tasks_Clean[[#This Row],[Delay_Days]]&gt;0,"Delayed by "&amp;TEXT(tbl_Tasks_Clean[[#This Row],[Delay_Days]],"0")&amp;" days",IF(tbl_Tasks_Clean[[#This Row],[Delay_Days]]&lt;0,"Early by "&amp;TEXT(-tbl_Tasks_Clean[[#This Row],[Delay_Days]],"0")&amp;" days","On schedule"))</f>
        <v>Delayed by 2 days</v>
      </c>
    </row>
    <row r="235" spans="1:26" x14ac:dyDescent="0.3">
      <c r="A235" t="s">
        <v>1179</v>
      </c>
      <c r="B235" t="s">
        <v>101</v>
      </c>
      <c r="C235" t="s">
        <v>102</v>
      </c>
      <c r="D235" t="s">
        <v>1180</v>
      </c>
      <c r="E235" t="s">
        <v>177</v>
      </c>
      <c r="F235" t="s">
        <v>196</v>
      </c>
      <c r="G235" t="s">
        <v>250</v>
      </c>
      <c r="H235" t="s">
        <v>356</v>
      </c>
      <c r="I235">
        <v>2000</v>
      </c>
      <c r="J235">
        <v>2511</v>
      </c>
      <c r="K235" s="22"/>
      <c r="L235" s="22"/>
      <c r="M235" s="22"/>
      <c r="O235">
        <v>0</v>
      </c>
      <c r="P235" t="s">
        <v>103</v>
      </c>
      <c r="Q235" t="s">
        <v>94</v>
      </c>
      <c r="R235">
        <v>50000</v>
      </c>
      <c r="S235" t="s">
        <v>197</v>
      </c>
      <c r="T235">
        <v>180</v>
      </c>
      <c r="U235" s="29">
        <f>tbl_Tasks_Clean[[#This Row],[Actual_Cost]]-tbl_Tasks_Clean[[#This Row],[Planned_Cost]]</f>
        <v>511</v>
      </c>
      <c r="V235" s="30">
        <f>IFERROR(tbl_Tasks_Clean[[#This Row],[Cost_Variance]]/tbl_Tasks_Clean[[#This Row],[Planned_Cost]],0)</f>
        <v>0.2555</v>
      </c>
      <c r="W235" t="str">
        <f>IF(AND(tbl_Tasks_Clean[[#This Row],[Status]]="Completed",tbl_Tasks_Clean[[#This Row],[Delay_Days]]&lt;=0),"On Time",IF(AND(tbl_Tasks_Clean[[#This Row],[Status]]="Completed",tbl_Tasks_Clean[[#This Row],[Delay_Days]]&gt;0),"Late","N/A"))</f>
        <v>N/A</v>
      </c>
      <c r="X235" s="29" t="str" cm="1">
        <f t="array" ref="X235">_xlfn.IFS(tbl_Tasks_Clean[[#This Row],[Planned_Duration_Days]]&lt;=7,"Short (&lt;=7 days)",tbl_Tasks_Clean[[#This Row],[Planned_Duration_Days]]&lt;=20,"Medium (8-20 days)",TRUE,"Long (&gt;20 days)")</f>
        <v>Short (&lt;=7 days)</v>
      </c>
      <c r="Y235" s="29" t="str">
        <f>INDEX(Projects!$D:$D,MATCH(tbl_Tasks_Clean[[#This Row],[Project_ID]],Projects!$A:$A,0))</f>
        <v>Ahmed Nabil</v>
      </c>
      <c r="Z235" s="29" t="str">
        <f>IF(tbl_Tasks_Clean[[#This Row],[Delay_Days]]&gt;0,"Delayed by "&amp;TEXT(tbl_Tasks_Clean[[#This Row],[Delay_Days]],"0")&amp;" days",IF(tbl_Tasks_Clean[[#This Row],[Delay_Days]]&lt;0,"Early by "&amp;TEXT(-tbl_Tasks_Clean[[#This Row],[Delay_Days]],"0")&amp;" days","On schedule"))</f>
        <v>On schedule</v>
      </c>
    </row>
    <row r="236" spans="1:26" x14ac:dyDescent="0.3">
      <c r="A236" t="s">
        <v>1184</v>
      </c>
      <c r="B236" t="s">
        <v>136</v>
      </c>
      <c r="C236" t="s">
        <v>137</v>
      </c>
      <c r="D236" t="s">
        <v>1185</v>
      </c>
      <c r="E236" t="s">
        <v>1435</v>
      </c>
      <c r="F236" t="s">
        <v>169</v>
      </c>
      <c r="G236" t="s">
        <v>350</v>
      </c>
      <c r="H236" t="s">
        <v>314</v>
      </c>
      <c r="I236">
        <v>2000</v>
      </c>
      <c r="J236">
        <v>1912</v>
      </c>
      <c r="K236" s="22">
        <v>45442</v>
      </c>
      <c r="L236" s="22">
        <v>45462</v>
      </c>
      <c r="M236" s="22">
        <v>45462</v>
      </c>
      <c r="N236">
        <v>20</v>
      </c>
      <c r="O236">
        <v>0</v>
      </c>
      <c r="P236" t="s">
        <v>138</v>
      </c>
      <c r="Q236" t="s">
        <v>94</v>
      </c>
      <c r="R236">
        <v>300000</v>
      </c>
      <c r="S236" t="s">
        <v>164</v>
      </c>
      <c r="T236">
        <v>200</v>
      </c>
      <c r="U236" s="29">
        <f>tbl_Tasks_Clean[[#This Row],[Actual_Cost]]-tbl_Tasks_Clean[[#This Row],[Planned_Cost]]</f>
        <v>-88</v>
      </c>
      <c r="V236" s="30">
        <f>IFERROR(tbl_Tasks_Clean[[#This Row],[Cost_Variance]]/tbl_Tasks_Clean[[#This Row],[Planned_Cost]],0)</f>
        <v>-4.3999999999999997E-2</v>
      </c>
      <c r="W236" t="str">
        <f>IF(AND(tbl_Tasks_Clean[[#This Row],[Status]]="Completed",tbl_Tasks_Clean[[#This Row],[Delay_Days]]&lt;=0),"On Time",IF(AND(tbl_Tasks_Clean[[#This Row],[Status]]="Completed",tbl_Tasks_Clean[[#This Row],[Delay_Days]]&gt;0),"Late","N/A"))</f>
        <v>On Time</v>
      </c>
      <c r="X236" s="29" t="str" cm="1">
        <f t="array" ref="X236">_xlfn.IFS(tbl_Tasks_Clean[[#This Row],[Planned_Duration_Days]]&lt;=7,"Short (&lt;=7 days)",tbl_Tasks_Clean[[#This Row],[Planned_Duration_Days]]&lt;=20,"Medium (8-20 days)",TRUE,"Long (&gt;20 days)")</f>
        <v>Medium (8-20 days)</v>
      </c>
      <c r="Y236" s="29" t="str">
        <f>INDEX(Projects!$D:$D,MATCH(tbl_Tasks_Clean[[#This Row],[Project_ID]],Projects!$A:$A,0))</f>
        <v>Ahmed Nabil</v>
      </c>
      <c r="Z236" s="29" t="str">
        <f>IF(tbl_Tasks_Clean[[#This Row],[Delay_Days]]&gt;0,"Delayed by "&amp;TEXT(tbl_Tasks_Clean[[#This Row],[Delay_Days]],"0")&amp;" days",IF(tbl_Tasks_Clean[[#This Row],[Delay_Days]]&lt;0,"Early by "&amp;TEXT(-tbl_Tasks_Clean[[#This Row],[Delay_Days]],"0")&amp;" days","On schedule"))</f>
        <v>On schedule</v>
      </c>
    </row>
    <row r="237" spans="1:26" x14ac:dyDescent="0.3">
      <c r="A237" t="s">
        <v>1187</v>
      </c>
      <c r="B237" t="s">
        <v>96</v>
      </c>
      <c r="C237" t="s">
        <v>97</v>
      </c>
      <c r="D237" t="s">
        <v>1053</v>
      </c>
      <c r="E237" t="s">
        <v>150</v>
      </c>
      <c r="F237" t="s">
        <v>224</v>
      </c>
      <c r="G237" t="s">
        <v>350</v>
      </c>
      <c r="H237" t="s">
        <v>314</v>
      </c>
      <c r="I237">
        <v>8000</v>
      </c>
      <c r="J237">
        <v>11057</v>
      </c>
      <c r="K237" s="22">
        <v>45611</v>
      </c>
      <c r="L237" s="22">
        <v>45621</v>
      </c>
      <c r="M237" s="22">
        <v>45621</v>
      </c>
      <c r="N237">
        <v>10</v>
      </c>
      <c r="O237">
        <v>0</v>
      </c>
      <c r="P237" t="s">
        <v>98</v>
      </c>
      <c r="Q237" t="s">
        <v>99</v>
      </c>
      <c r="R237">
        <v>75000</v>
      </c>
      <c r="S237" t="s">
        <v>219</v>
      </c>
      <c r="T237">
        <v>200</v>
      </c>
      <c r="U237" s="29">
        <f>tbl_Tasks_Clean[[#This Row],[Actual_Cost]]-tbl_Tasks_Clean[[#This Row],[Planned_Cost]]</f>
        <v>3057</v>
      </c>
      <c r="V237" s="30">
        <f>IFERROR(tbl_Tasks_Clean[[#This Row],[Cost_Variance]]/tbl_Tasks_Clean[[#This Row],[Planned_Cost]],0)</f>
        <v>0.38212499999999999</v>
      </c>
      <c r="W237" t="str">
        <f>IF(AND(tbl_Tasks_Clean[[#This Row],[Status]]="Completed",tbl_Tasks_Clean[[#This Row],[Delay_Days]]&lt;=0),"On Time",IF(AND(tbl_Tasks_Clean[[#This Row],[Status]]="Completed",tbl_Tasks_Clean[[#This Row],[Delay_Days]]&gt;0),"Late","N/A"))</f>
        <v>On Time</v>
      </c>
      <c r="X237" s="29" t="str" cm="1">
        <f t="array" ref="X237">_xlfn.IFS(tbl_Tasks_Clean[[#This Row],[Planned_Duration_Days]]&lt;=7,"Short (&lt;=7 days)",tbl_Tasks_Clean[[#This Row],[Planned_Duration_Days]]&lt;=20,"Medium (8-20 days)",TRUE,"Long (&gt;20 days)")</f>
        <v>Medium (8-20 days)</v>
      </c>
      <c r="Y237" s="29" t="str">
        <f>INDEX(Projects!$D:$D,MATCH(tbl_Tasks_Clean[[#This Row],[Project_ID]],Projects!$A:$A,0))</f>
        <v>Laila Samir</v>
      </c>
      <c r="Z237" s="29" t="str">
        <f>IF(tbl_Tasks_Clean[[#This Row],[Delay_Days]]&gt;0,"Delayed by "&amp;TEXT(tbl_Tasks_Clean[[#This Row],[Delay_Days]],"0")&amp;" days",IF(tbl_Tasks_Clean[[#This Row],[Delay_Days]]&lt;0,"Early by "&amp;TEXT(-tbl_Tasks_Clean[[#This Row],[Delay_Days]],"0")&amp;" days","On schedule"))</f>
        <v>On schedule</v>
      </c>
    </row>
    <row r="238" spans="1:26" x14ac:dyDescent="0.3">
      <c r="A238" t="s">
        <v>1190</v>
      </c>
      <c r="B238" t="s">
        <v>113</v>
      </c>
      <c r="C238" t="s">
        <v>114</v>
      </c>
      <c r="D238" t="s">
        <v>1191</v>
      </c>
      <c r="E238" t="s">
        <v>187</v>
      </c>
      <c r="F238" t="s">
        <v>149</v>
      </c>
      <c r="G238" t="s">
        <v>250</v>
      </c>
      <c r="H238" t="s">
        <v>287</v>
      </c>
      <c r="I238">
        <v>1500</v>
      </c>
      <c r="J238">
        <v>422</v>
      </c>
      <c r="K238" s="22">
        <v>45398</v>
      </c>
      <c r="L238" s="22">
        <v>45415</v>
      </c>
      <c r="M238" s="22"/>
      <c r="N238">
        <v>17</v>
      </c>
      <c r="O238">
        <v>0</v>
      </c>
      <c r="P238" t="s">
        <v>115</v>
      </c>
      <c r="Q238" t="s">
        <v>116</v>
      </c>
      <c r="R238">
        <v>300000</v>
      </c>
      <c r="S238" t="s">
        <v>150</v>
      </c>
      <c r="T238">
        <v>150</v>
      </c>
      <c r="U238" s="29">
        <f>tbl_Tasks_Clean[[#This Row],[Actual_Cost]]-tbl_Tasks_Clean[[#This Row],[Planned_Cost]]</f>
        <v>-1078</v>
      </c>
      <c r="V238" s="30">
        <f>IFERROR(tbl_Tasks_Clean[[#This Row],[Cost_Variance]]/tbl_Tasks_Clean[[#This Row],[Planned_Cost]],0)</f>
        <v>-0.71866666666666668</v>
      </c>
      <c r="W238" t="str">
        <f>IF(AND(tbl_Tasks_Clean[[#This Row],[Status]]="Completed",tbl_Tasks_Clean[[#This Row],[Delay_Days]]&lt;=0),"On Time",IF(AND(tbl_Tasks_Clean[[#This Row],[Status]]="Completed",tbl_Tasks_Clean[[#This Row],[Delay_Days]]&gt;0),"Late","N/A"))</f>
        <v>N/A</v>
      </c>
      <c r="X238" s="29" t="str" cm="1">
        <f t="array" ref="X238">_xlfn.IFS(tbl_Tasks_Clean[[#This Row],[Planned_Duration_Days]]&lt;=7,"Short (&lt;=7 days)",tbl_Tasks_Clean[[#This Row],[Planned_Duration_Days]]&lt;=20,"Medium (8-20 days)",TRUE,"Long (&gt;20 days)")</f>
        <v>Medium (8-20 days)</v>
      </c>
      <c r="Y238" s="29" t="str">
        <f>INDEX(Projects!$D:$D,MATCH(tbl_Tasks_Clean[[#This Row],[Project_ID]],Projects!$A:$A,0))</f>
        <v>Nourhan Tarek</v>
      </c>
      <c r="Z238" s="29" t="str">
        <f>IF(tbl_Tasks_Clean[[#This Row],[Delay_Days]]&gt;0,"Delayed by "&amp;TEXT(tbl_Tasks_Clean[[#This Row],[Delay_Days]],"0")&amp;" days",IF(tbl_Tasks_Clean[[#This Row],[Delay_Days]]&lt;0,"Early by "&amp;TEXT(-tbl_Tasks_Clean[[#This Row],[Delay_Days]],"0")&amp;" days","On schedule"))</f>
        <v>On schedule</v>
      </c>
    </row>
    <row r="239" spans="1:26" x14ac:dyDescent="0.3">
      <c r="A239" t="s">
        <v>1193</v>
      </c>
      <c r="B239" t="s">
        <v>86</v>
      </c>
      <c r="C239" t="s">
        <v>87</v>
      </c>
      <c r="D239" t="s">
        <v>805</v>
      </c>
      <c r="E239" t="s">
        <v>164</v>
      </c>
      <c r="F239" t="s">
        <v>203</v>
      </c>
      <c r="G239" t="s">
        <v>250</v>
      </c>
      <c r="H239" t="s">
        <v>314</v>
      </c>
      <c r="I239">
        <v>6000</v>
      </c>
      <c r="J239">
        <v>5449</v>
      </c>
      <c r="K239" s="22">
        <v>45614</v>
      </c>
      <c r="L239" s="22">
        <v>45629</v>
      </c>
      <c r="M239" s="22">
        <v>45629</v>
      </c>
      <c r="N239">
        <v>15</v>
      </c>
      <c r="O239">
        <v>0</v>
      </c>
      <c r="P239" t="s">
        <v>88</v>
      </c>
      <c r="Q239" t="s">
        <v>89</v>
      </c>
      <c r="R239">
        <v>150000</v>
      </c>
      <c r="S239" t="s">
        <v>197</v>
      </c>
      <c r="T239">
        <v>300</v>
      </c>
      <c r="U239" s="29">
        <f>tbl_Tasks_Clean[[#This Row],[Actual_Cost]]-tbl_Tasks_Clean[[#This Row],[Planned_Cost]]</f>
        <v>-551</v>
      </c>
      <c r="V239" s="30">
        <f>IFERROR(tbl_Tasks_Clean[[#This Row],[Cost_Variance]]/tbl_Tasks_Clean[[#This Row],[Planned_Cost]],0)</f>
        <v>-9.1833333333333336E-2</v>
      </c>
      <c r="W239" t="str">
        <f>IF(AND(tbl_Tasks_Clean[[#This Row],[Status]]="Completed",tbl_Tasks_Clean[[#This Row],[Delay_Days]]&lt;=0),"On Time",IF(AND(tbl_Tasks_Clean[[#This Row],[Status]]="Completed",tbl_Tasks_Clean[[#This Row],[Delay_Days]]&gt;0),"Late","N/A"))</f>
        <v>On Time</v>
      </c>
      <c r="X239" s="29" t="str" cm="1">
        <f t="array" ref="X239">_xlfn.IFS(tbl_Tasks_Clean[[#This Row],[Planned_Duration_Days]]&lt;=7,"Short (&lt;=7 days)",tbl_Tasks_Clean[[#This Row],[Planned_Duration_Days]]&lt;=20,"Medium (8-20 days)",TRUE,"Long (&gt;20 days)")</f>
        <v>Medium (8-20 days)</v>
      </c>
      <c r="Y239" s="29" t="str">
        <f>INDEX(Projects!$D:$D,MATCH(tbl_Tasks_Clean[[#This Row],[Project_ID]],Projects!$A:$A,0))</f>
        <v>Youssef Adel</v>
      </c>
      <c r="Z239" s="29" t="str">
        <f>IF(tbl_Tasks_Clean[[#This Row],[Delay_Days]]&gt;0,"Delayed by "&amp;TEXT(tbl_Tasks_Clean[[#This Row],[Delay_Days]],"0")&amp;" days",IF(tbl_Tasks_Clean[[#This Row],[Delay_Days]]&lt;0,"Early by "&amp;TEXT(-tbl_Tasks_Clean[[#This Row],[Delay_Days]],"0")&amp;" days","On schedule"))</f>
        <v>On schedule</v>
      </c>
    </row>
    <row r="240" spans="1:26" x14ac:dyDescent="0.3">
      <c r="A240" t="s">
        <v>1196</v>
      </c>
      <c r="B240" t="s">
        <v>101</v>
      </c>
      <c r="C240" t="s">
        <v>102</v>
      </c>
      <c r="D240" t="s">
        <v>1197</v>
      </c>
      <c r="E240" t="s">
        <v>187</v>
      </c>
      <c r="F240" t="s">
        <v>196</v>
      </c>
      <c r="G240" t="s">
        <v>281</v>
      </c>
      <c r="H240" t="s">
        <v>269</v>
      </c>
      <c r="I240">
        <v>4000</v>
      </c>
      <c r="J240">
        <v>5388</v>
      </c>
      <c r="K240" s="22">
        <v>45427</v>
      </c>
      <c r="L240" s="22">
        <v>45452</v>
      </c>
      <c r="M240" s="22">
        <v>45464</v>
      </c>
      <c r="N240">
        <v>25</v>
      </c>
      <c r="O240">
        <v>12</v>
      </c>
      <c r="P240" t="s">
        <v>103</v>
      </c>
      <c r="Q240" t="s">
        <v>94</v>
      </c>
      <c r="R240">
        <v>50000</v>
      </c>
      <c r="S240" t="s">
        <v>197</v>
      </c>
      <c r="T240">
        <v>180</v>
      </c>
      <c r="U240" s="29">
        <f>tbl_Tasks_Clean[[#This Row],[Actual_Cost]]-tbl_Tasks_Clean[[#This Row],[Planned_Cost]]</f>
        <v>1388</v>
      </c>
      <c r="V240" s="30">
        <f>IFERROR(tbl_Tasks_Clean[[#This Row],[Cost_Variance]]/tbl_Tasks_Clean[[#This Row],[Planned_Cost]],0)</f>
        <v>0.34699999999999998</v>
      </c>
      <c r="W240" t="str">
        <f>IF(AND(tbl_Tasks_Clean[[#This Row],[Status]]="Completed",tbl_Tasks_Clean[[#This Row],[Delay_Days]]&lt;=0),"On Time",IF(AND(tbl_Tasks_Clean[[#This Row],[Status]]="Completed",tbl_Tasks_Clean[[#This Row],[Delay_Days]]&gt;0),"Late","N/A"))</f>
        <v>N/A</v>
      </c>
      <c r="X240" s="29" t="str" cm="1">
        <f t="array" ref="X240">_xlfn.IFS(tbl_Tasks_Clean[[#This Row],[Planned_Duration_Days]]&lt;=7,"Short (&lt;=7 days)",tbl_Tasks_Clean[[#This Row],[Planned_Duration_Days]]&lt;=20,"Medium (8-20 days)",TRUE,"Long (&gt;20 days)")</f>
        <v>Long (&gt;20 days)</v>
      </c>
      <c r="Y240" s="29" t="str">
        <f>INDEX(Projects!$D:$D,MATCH(tbl_Tasks_Clean[[#This Row],[Project_ID]],Projects!$A:$A,0))</f>
        <v>Ahmed Nabil</v>
      </c>
      <c r="Z240" s="29" t="str">
        <f>IF(tbl_Tasks_Clean[[#This Row],[Delay_Days]]&gt;0,"Delayed by "&amp;TEXT(tbl_Tasks_Clean[[#This Row],[Delay_Days]],"0")&amp;" days",IF(tbl_Tasks_Clean[[#This Row],[Delay_Days]]&lt;0,"Early by "&amp;TEXT(-tbl_Tasks_Clean[[#This Row],[Delay_Days]],"0")&amp;" days","On schedule"))</f>
        <v>Delayed by 12 days</v>
      </c>
    </row>
    <row r="241" spans="1:26" x14ac:dyDescent="0.3">
      <c r="A241" t="s">
        <v>1200</v>
      </c>
      <c r="B241" t="s">
        <v>122</v>
      </c>
      <c r="C241" t="s">
        <v>123</v>
      </c>
      <c r="D241" t="s">
        <v>274</v>
      </c>
      <c r="E241" t="s">
        <v>177</v>
      </c>
      <c r="F241" t="s">
        <v>158</v>
      </c>
      <c r="G241" t="s">
        <v>350</v>
      </c>
      <c r="H241" t="s">
        <v>276</v>
      </c>
      <c r="I241">
        <v>3000</v>
      </c>
      <c r="J241">
        <v>0</v>
      </c>
      <c r="K241" s="22">
        <v>45457</v>
      </c>
      <c r="L241" s="22">
        <v>45474</v>
      </c>
      <c r="M241" s="22"/>
      <c r="N241">
        <v>17</v>
      </c>
      <c r="O241">
        <v>0</v>
      </c>
      <c r="P241" t="s">
        <v>111</v>
      </c>
      <c r="Q241" t="s">
        <v>124</v>
      </c>
      <c r="R241">
        <v>150000</v>
      </c>
      <c r="S241" t="s">
        <v>150</v>
      </c>
      <c r="T241">
        <v>180</v>
      </c>
      <c r="U241" s="29">
        <f>tbl_Tasks_Clean[[#This Row],[Actual_Cost]]-tbl_Tasks_Clean[[#This Row],[Planned_Cost]]</f>
        <v>-3000</v>
      </c>
      <c r="V241" s="30">
        <f>IFERROR(tbl_Tasks_Clean[[#This Row],[Cost_Variance]]/tbl_Tasks_Clean[[#This Row],[Planned_Cost]],0)</f>
        <v>-1</v>
      </c>
      <c r="W241" t="str">
        <f>IF(AND(tbl_Tasks_Clean[[#This Row],[Status]]="Completed",tbl_Tasks_Clean[[#This Row],[Delay_Days]]&lt;=0),"On Time",IF(AND(tbl_Tasks_Clean[[#This Row],[Status]]="Completed",tbl_Tasks_Clean[[#This Row],[Delay_Days]]&gt;0),"Late","N/A"))</f>
        <v>N/A</v>
      </c>
      <c r="X241" s="29" t="str" cm="1">
        <f t="array" ref="X241">_xlfn.IFS(tbl_Tasks_Clean[[#This Row],[Planned_Duration_Days]]&lt;=7,"Short (&lt;=7 days)",tbl_Tasks_Clean[[#This Row],[Planned_Duration_Days]]&lt;=20,"Medium (8-20 days)",TRUE,"Long (&gt;20 days)")</f>
        <v>Medium (8-20 days)</v>
      </c>
      <c r="Y241" s="29" t="str">
        <f>INDEX(Projects!$D:$D,MATCH(tbl_Tasks_Clean[[#This Row],[Project_ID]],Projects!$A:$A,0))</f>
        <v>Sara Hassan</v>
      </c>
      <c r="Z241" s="29" t="str">
        <f>IF(tbl_Tasks_Clean[[#This Row],[Delay_Days]]&gt;0,"Delayed by "&amp;TEXT(tbl_Tasks_Clean[[#This Row],[Delay_Days]],"0")&amp;" days",IF(tbl_Tasks_Clean[[#This Row],[Delay_Days]]&lt;0,"Early by "&amp;TEXT(-tbl_Tasks_Clean[[#This Row],[Delay_Days]],"0")&amp;" days","On schedule"))</f>
        <v>On schedule</v>
      </c>
    </row>
    <row r="242" spans="1:26" x14ac:dyDescent="0.3">
      <c r="A242" t="s">
        <v>1202</v>
      </c>
      <c r="B242" t="s">
        <v>140</v>
      </c>
      <c r="C242" t="s">
        <v>141</v>
      </c>
      <c r="D242" t="s">
        <v>1203</v>
      </c>
      <c r="E242" t="s">
        <v>1435</v>
      </c>
      <c r="F242" t="s">
        <v>209</v>
      </c>
      <c r="G242" t="s">
        <v>281</v>
      </c>
      <c r="H242" t="s">
        <v>314</v>
      </c>
      <c r="I242">
        <v>2000</v>
      </c>
      <c r="J242">
        <v>2401</v>
      </c>
      <c r="K242" s="22">
        <v>45499</v>
      </c>
      <c r="L242" s="22">
        <v>45514</v>
      </c>
      <c r="M242" s="22">
        <v>45512</v>
      </c>
      <c r="N242">
        <v>15</v>
      </c>
      <c r="O242">
        <v>-2</v>
      </c>
      <c r="P242" t="s">
        <v>111</v>
      </c>
      <c r="Q242" t="s">
        <v>116</v>
      </c>
      <c r="R242">
        <v>75000</v>
      </c>
      <c r="S242" t="s">
        <v>206</v>
      </c>
      <c r="T242">
        <v>250</v>
      </c>
      <c r="U242" s="29">
        <f>tbl_Tasks_Clean[[#This Row],[Actual_Cost]]-tbl_Tasks_Clean[[#This Row],[Planned_Cost]]</f>
        <v>401</v>
      </c>
      <c r="V242" s="30">
        <f>IFERROR(tbl_Tasks_Clean[[#This Row],[Cost_Variance]]/tbl_Tasks_Clean[[#This Row],[Planned_Cost]],0)</f>
        <v>0.20050000000000001</v>
      </c>
      <c r="W242" t="str">
        <f>IF(AND(tbl_Tasks_Clean[[#This Row],[Status]]="Completed",tbl_Tasks_Clean[[#This Row],[Delay_Days]]&lt;=0),"On Time",IF(AND(tbl_Tasks_Clean[[#This Row],[Status]]="Completed",tbl_Tasks_Clean[[#This Row],[Delay_Days]]&gt;0),"Late","N/A"))</f>
        <v>On Time</v>
      </c>
      <c r="X242" s="29" t="str" cm="1">
        <f t="array" ref="X242">_xlfn.IFS(tbl_Tasks_Clean[[#This Row],[Planned_Duration_Days]]&lt;=7,"Short (&lt;=7 days)",tbl_Tasks_Clean[[#This Row],[Planned_Duration_Days]]&lt;=20,"Medium (8-20 days)",TRUE,"Long (&gt;20 days)")</f>
        <v>Medium (8-20 days)</v>
      </c>
      <c r="Y242" s="29" t="str">
        <f>INDEX(Projects!$D:$D,MATCH(tbl_Tasks_Clean[[#This Row],[Project_ID]],Projects!$A:$A,0))</f>
        <v>Nourhan Tarek</v>
      </c>
      <c r="Z242" s="29" t="str">
        <f>IF(tbl_Tasks_Clean[[#This Row],[Delay_Days]]&gt;0,"Delayed by "&amp;TEXT(tbl_Tasks_Clean[[#This Row],[Delay_Days]],"0")&amp;" days",IF(tbl_Tasks_Clean[[#This Row],[Delay_Days]]&lt;0,"Early by "&amp;TEXT(-tbl_Tasks_Clean[[#This Row],[Delay_Days]],"0")&amp;" days","On schedule"))</f>
        <v>Early by 2 days</v>
      </c>
    </row>
    <row r="243" spans="1:26" x14ac:dyDescent="0.3">
      <c r="A243" t="s">
        <v>1207</v>
      </c>
      <c r="B243" t="s">
        <v>118</v>
      </c>
      <c r="C243" t="s">
        <v>119</v>
      </c>
      <c r="D243" t="s">
        <v>1208</v>
      </c>
      <c r="E243" t="s">
        <v>150</v>
      </c>
      <c r="F243" t="s">
        <v>212</v>
      </c>
      <c r="G243" t="s">
        <v>250</v>
      </c>
      <c r="H243" t="s">
        <v>269</v>
      </c>
      <c r="I243">
        <v>2500</v>
      </c>
      <c r="J243">
        <v>3083</v>
      </c>
      <c r="K243" s="22">
        <v>45356</v>
      </c>
      <c r="L243" s="22">
        <v>45363</v>
      </c>
      <c r="M243" s="22">
        <v>45370</v>
      </c>
      <c r="N243">
        <v>7</v>
      </c>
      <c r="O243">
        <v>7</v>
      </c>
      <c r="P243" t="s">
        <v>120</v>
      </c>
      <c r="Q243" t="s">
        <v>99</v>
      </c>
      <c r="R243">
        <v>100000</v>
      </c>
      <c r="S243" t="s">
        <v>206</v>
      </c>
      <c r="T243">
        <v>180</v>
      </c>
      <c r="U243" s="29">
        <f>tbl_Tasks_Clean[[#This Row],[Actual_Cost]]-tbl_Tasks_Clean[[#This Row],[Planned_Cost]]</f>
        <v>583</v>
      </c>
      <c r="V243" s="30">
        <f>IFERROR(tbl_Tasks_Clean[[#This Row],[Cost_Variance]]/tbl_Tasks_Clean[[#This Row],[Planned_Cost]],0)</f>
        <v>0.23319999999999999</v>
      </c>
      <c r="W243" t="str">
        <f>IF(AND(tbl_Tasks_Clean[[#This Row],[Status]]="Completed",tbl_Tasks_Clean[[#This Row],[Delay_Days]]&lt;=0),"On Time",IF(AND(tbl_Tasks_Clean[[#This Row],[Status]]="Completed",tbl_Tasks_Clean[[#This Row],[Delay_Days]]&gt;0),"Late","N/A"))</f>
        <v>N/A</v>
      </c>
      <c r="X243" s="29" t="str" cm="1">
        <f t="array" ref="X243">_xlfn.IFS(tbl_Tasks_Clean[[#This Row],[Planned_Duration_Days]]&lt;=7,"Short (&lt;=7 days)",tbl_Tasks_Clean[[#This Row],[Planned_Duration_Days]]&lt;=20,"Medium (8-20 days)",TRUE,"Long (&gt;20 days)")</f>
        <v>Short (&lt;=7 days)</v>
      </c>
      <c r="Y243" s="29" t="str">
        <f>INDEX(Projects!$D:$D,MATCH(tbl_Tasks_Clean[[#This Row],[Project_ID]],Projects!$A:$A,0))</f>
        <v>Laila Samir</v>
      </c>
      <c r="Z243" s="29" t="str">
        <f>IF(tbl_Tasks_Clean[[#This Row],[Delay_Days]]&gt;0,"Delayed by "&amp;TEXT(tbl_Tasks_Clean[[#This Row],[Delay_Days]],"0")&amp;" days",IF(tbl_Tasks_Clean[[#This Row],[Delay_Days]]&lt;0,"Early by "&amp;TEXT(-tbl_Tasks_Clean[[#This Row],[Delay_Days]],"0")&amp;" days","On schedule"))</f>
        <v>Delayed by 7 days</v>
      </c>
    </row>
    <row r="244" spans="1:26" x14ac:dyDescent="0.3">
      <c r="A244" t="s">
        <v>1211</v>
      </c>
      <c r="B244" t="s">
        <v>133</v>
      </c>
      <c r="C244" t="s">
        <v>134</v>
      </c>
      <c r="D244" t="s">
        <v>566</v>
      </c>
      <c r="E244" t="s">
        <v>150</v>
      </c>
      <c r="F244" t="s">
        <v>222</v>
      </c>
      <c r="G244" t="s">
        <v>350</v>
      </c>
      <c r="H244" t="s">
        <v>287</v>
      </c>
      <c r="I244">
        <v>2000</v>
      </c>
      <c r="J244">
        <v>758</v>
      </c>
      <c r="K244" s="22">
        <v>45522</v>
      </c>
      <c r="L244" s="22">
        <v>45534</v>
      </c>
      <c r="M244" s="22"/>
      <c r="N244">
        <v>12</v>
      </c>
      <c r="O244">
        <v>0</v>
      </c>
      <c r="P244" t="s">
        <v>111</v>
      </c>
      <c r="Q244" t="s">
        <v>116</v>
      </c>
      <c r="R244">
        <v>200000</v>
      </c>
      <c r="S244" t="s">
        <v>219</v>
      </c>
      <c r="T244">
        <v>250</v>
      </c>
      <c r="U244" s="29">
        <f>tbl_Tasks_Clean[[#This Row],[Actual_Cost]]-tbl_Tasks_Clean[[#This Row],[Planned_Cost]]</f>
        <v>-1242</v>
      </c>
      <c r="V244" s="30">
        <f>IFERROR(tbl_Tasks_Clean[[#This Row],[Cost_Variance]]/tbl_Tasks_Clean[[#This Row],[Planned_Cost]],0)</f>
        <v>-0.621</v>
      </c>
      <c r="W244" t="str">
        <f>IF(AND(tbl_Tasks_Clean[[#This Row],[Status]]="Completed",tbl_Tasks_Clean[[#This Row],[Delay_Days]]&lt;=0),"On Time",IF(AND(tbl_Tasks_Clean[[#This Row],[Status]]="Completed",tbl_Tasks_Clean[[#This Row],[Delay_Days]]&gt;0),"Late","N/A"))</f>
        <v>N/A</v>
      </c>
      <c r="X244" s="29" t="str" cm="1">
        <f t="array" ref="X244">_xlfn.IFS(tbl_Tasks_Clean[[#This Row],[Planned_Duration_Days]]&lt;=7,"Short (&lt;=7 days)",tbl_Tasks_Clean[[#This Row],[Planned_Duration_Days]]&lt;=20,"Medium (8-20 days)",TRUE,"Long (&gt;20 days)")</f>
        <v>Medium (8-20 days)</v>
      </c>
      <c r="Y244" s="29" t="str">
        <f>INDEX(Projects!$D:$D,MATCH(tbl_Tasks_Clean[[#This Row],[Project_ID]],Projects!$A:$A,0))</f>
        <v>Nourhan Tarek</v>
      </c>
      <c r="Z244" s="29" t="str">
        <f>IF(tbl_Tasks_Clean[[#This Row],[Delay_Days]]&gt;0,"Delayed by "&amp;TEXT(tbl_Tasks_Clean[[#This Row],[Delay_Days]],"0")&amp;" days",IF(tbl_Tasks_Clean[[#This Row],[Delay_Days]]&lt;0,"Early by "&amp;TEXT(-tbl_Tasks_Clean[[#This Row],[Delay_Days]],"0")&amp;" days","On schedule"))</f>
        <v>On schedule</v>
      </c>
    </row>
    <row r="245" spans="1:26" x14ac:dyDescent="0.3">
      <c r="A245" t="s">
        <v>1214</v>
      </c>
      <c r="B245" t="s">
        <v>91</v>
      </c>
      <c r="C245" t="s">
        <v>92</v>
      </c>
      <c r="D245" t="s">
        <v>1215</v>
      </c>
      <c r="E245" t="s">
        <v>206</v>
      </c>
      <c r="F245" t="s">
        <v>167</v>
      </c>
      <c r="G245" t="s">
        <v>1443</v>
      </c>
      <c r="H245" t="s">
        <v>314</v>
      </c>
      <c r="I245">
        <v>8000</v>
      </c>
      <c r="J245">
        <v>6410</v>
      </c>
      <c r="K245" s="22">
        <v>45469</v>
      </c>
      <c r="L245" s="22">
        <v>45479</v>
      </c>
      <c r="M245" s="22">
        <v>45479</v>
      </c>
      <c r="N245">
        <v>10</v>
      </c>
      <c r="O245">
        <v>0</v>
      </c>
      <c r="P245" t="s">
        <v>93</v>
      </c>
      <c r="Q245" t="s">
        <v>94</v>
      </c>
      <c r="R245">
        <v>100000</v>
      </c>
      <c r="S245" t="s">
        <v>164</v>
      </c>
      <c r="T245">
        <v>180</v>
      </c>
      <c r="U245" s="29">
        <f>tbl_Tasks_Clean[[#This Row],[Actual_Cost]]-tbl_Tasks_Clean[[#This Row],[Planned_Cost]]</f>
        <v>-1590</v>
      </c>
      <c r="V245" s="30">
        <f>IFERROR(tbl_Tasks_Clean[[#This Row],[Cost_Variance]]/tbl_Tasks_Clean[[#This Row],[Planned_Cost]],0)</f>
        <v>-0.19875000000000001</v>
      </c>
      <c r="W245" t="str">
        <f>IF(AND(tbl_Tasks_Clean[[#This Row],[Status]]="Completed",tbl_Tasks_Clean[[#This Row],[Delay_Days]]&lt;=0),"On Time",IF(AND(tbl_Tasks_Clean[[#This Row],[Status]]="Completed",tbl_Tasks_Clean[[#This Row],[Delay_Days]]&gt;0),"Late","N/A"))</f>
        <v>On Time</v>
      </c>
      <c r="X245" s="29" t="str" cm="1">
        <f t="array" ref="X245">_xlfn.IFS(tbl_Tasks_Clean[[#This Row],[Planned_Duration_Days]]&lt;=7,"Short (&lt;=7 days)",tbl_Tasks_Clean[[#This Row],[Planned_Duration_Days]]&lt;=20,"Medium (8-20 days)",TRUE,"Long (&gt;20 days)")</f>
        <v>Medium (8-20 days)</v>
      </c>
      <c r="Y245" s="29" t="str">
        <f>INDEX(Projects!$D:$D,MATCH(tbl_Tasks_Clean[[#This Row],[Project_ID]],Projects!$A:$A,0))</f>
        <v>Ahmed Nabil</v>
      </c>
      <c r="Z245" s="29" t="str">
        <f>IF(tbl_Tasks_Clean[[#This Row],[Delay_Days]]&gt;0,"Delayed by "&amp;TEXT(tbl_Tasks_Clean[[#This Row],[Delay_Days]],"0")&amp;" days",IF(tbl_Tasks_Clean[[#This Row],[Delay_Days]]&lt;0,"Early by "&amp;TEXT(-tbl_Tasks_Clean[[#This Row],[Delay_Days]],"0")&amp;" days","On schedule"))</f>
        <v>On schedule</v>
      </c>
    </row>
    <row r="246" spans="1:26" x14ac:dyDescent="0.3">
      <c r="A246" t="s">
        <v>1217</v>
      </c>
      <c r="B246" t="s">
        <v>122</v>
      </c>
      <c r="C246" t="s">
        <v>123</v>
      </c>
      <c r="D246" t="s">
        <v>485</v>
      </c>
      <c r="E246" t="s">
        <v>197</v>
      </c>
      <c r="F246" t="s">
        <v>161</v>
      </c>
      <c r="G246" t="s">
        <v>350</v>
      </c>
      <c r="H246" t="s">
        <v>276</v>
      </c>
      <c r="I246">
        <v>2500</v>
      </c>
      <c r="J246">
        <v>0</v>
      </c>
      <c r="K246" s="22"/>
      <c r="L246" s="22"/>
      <c r="M246" s="22"/>
      <c r="O246">
        <v>0</v>
      </c>
      <c r="P246" t="s">
        <v>111</v>
      </c>
      <c r="Q246" t="s">
        <v>124</v>
      </c>
      <c r="R246">
        <v>150000</v>
      </c>
      <c r="S246" t="s">
        <v>150</v>
      </c>
      <c r="T246">
        <v>220</v>
      </c>
      <c r="U246" s="29">
        <f>tbl_Tasks_Clean[[#This Row],[Actual_Cost]]-tbl_Tasks_Clean[[#This Row],[Planned_Cost]]</f>
        <v>-2500</v>
      </c>
      <c r="V246" s="30">
        <f>IFERROR(tbl_Tasks_Clean[[#This Row],[Cost_Variance]]/tbl_Tasks_Clean[[#This Row],[Planned_Cost]],0)</f>
        <v>-1</v>
      </c>
      <c r="W246" t="str">
        <f>IF(AND(tbl_Tasks_Clean[[#This Row],[Status]]="Completed",tbl_Tasks_Clean[[#This Row],[Delay_Days]]&lt;=0),"On Time",IF(AND(tbl_Tasks_Clean[[#This Row],[Status]]="Completed",tbl_Tasks_Clean[[#This Row],[Delay_Days]]&gt;0),"Late","N/A"))</f>
        <v>N/A</v>
      </c>
      <c r="X246" s="29" t="str" cm="1">
        <f t="array" ref="X246">_xlfn.IFS(tbl_Tasks_Clean[[#This Row],[Planned_Duration_Days]]&lt;=7,"Short (&lt;=7 days)",tbl_Tasks_Clean[[#This Row],[Planned_Duration_Days]]&lt;=20,"Medium (8-20 days)",TRUE,"Long (&gt;20 days)")</f>
        <v>Short (&lt;=7 days)</v>
      </c>
      <c r="Y246" s="29" t="str">
        <f>INDEX(Projects!$D:$D,MATCH(tbl_Tasks_Clean[[#This Row],[Project_ID]],Projects!$A:$A,0))</f>
        <v>Sara Hassan</v>
      </c>
      <c r="Z246" s="29" t="str">
        <f>IF(tbl_Tasks_Clean[[#This Row],[Delay_Days]]&gt;0,"Delayed by "&amp;TEXT(tbl_Tasks_Clean[[#This Row],[Delay_Days]],"0")&amp;" days",IF(tbl_Tasks_Clean[[#This Row],[Delay_Days]]&lt;0,"Early by "&amp;TEXT(-tbl_Tasks_Clean[[#This Row],[Delay_Days]],"0")&amp;" days","On schedule"))</f>
        <v>On schedule</v>
      </c>
    </row>
    <row r="247" spans="1:26" x14ac:dyDescent="0.3">
      <c r="A247" t="s">
        <v>1218</v>
      </c>
      <c r="B247" t="s">
        <v>86</v>
      </c>
      <c r="C247" t="s">
        <v>87</v>
      </c>
      <c r="D247" t="s">
        <v>1219</v>
      </c>
      <c r="E247" t="s">
        <v>187</v>
      </c>
      <c r="F247" t="s">
        <v>190</v>
      </c>
      <c r="G247" t="s">
        <v>281</v>
      </c>
      <c r="H247" t="s">
        <v>319</v>
      </c>
      <c r="I247">
        <v>1500</v>
      </c>
      <c r="J247">
        <v>551</v>
      </c>
      <c r="K247" s="22"/>
      <c r="L247" s="22"/>
      <c r="M247" s="22"/>
      <c r="O247">
        <v>0</v>
      </c>
      <c r="P247" t="s">
        <v>88</v>
      </c>
      <c r="Q247" t="s">
        <v>89</v>
      </c>
      <c r="R247">
        <v>150000</v>
      </c>
      <c r="S247" t="s">
        <v>187</v>
      </c>
      <c r="T247">
        <v>280</v>
      </c>
      <c r="U247" s="29">
        <f>tbl_Tasks_Clean[[#This Row],[Actual_Cost]]-tbl_Tasks_Clean[[#This Row],[Planned_Cost]]</f>
        <v>-949</v>
      </c>
      <c r="V247" s="30">
        <f>IFERROR(tbl_Tasks_Clean[[#This Row],[Cost_Variance]]/tbl_Tasks_Clean[[#This Row],[Planned_Cost]],0)</f>
        <v>-0.63266666666666671</v>
      </c>
      <c r="W247" t="str">
        <f>IF(AND(tbl_Tasks_Clean[[#This Row],[Status]]="Completed",tbl_Tasks_Clean[[#This Row],[Delay_Days]]&lt;=0),"On Time",IF(AND(tbl_Tasks_Clean[[#This Row],[Status]]="Completed",tbl_Tasks_Clean[[#This Row],[Delay_Days]]&gt;0),"Late","N/A"))</f>
        <v>N/A</v>
      </c>
      <c r="X247" s="29" t="str" cm="1">
        <f t="array" ref="X247">_xlfn.IFS(tbl_Tasks_Clean[[#This Row],[Planned_Duration_Days]]&lt;=7,"Short (&lt;=7 days)",tbl_Tasks_Clean[[#This Row],[Planned_Duration_Days]]&lt;=20,"Medium (8-20 days)",TRUE,"Long (&gt;20 days)")</f>
        <v>Short (&lt;=7 days)</v>
      </c>
      <c r="Y247" s="29" t="str">
        <f>INDEX(Projects!$D:$D,MATCH(tbl_Tasks_Clean[[#This Row],[Project_ID]],Projects!$A:$A,0))</f>
        <v>Youssef Adel</v>
      </c>
      <c r="Z247" s="29" t="str">
        <f>IF(tbl_Tasks_Clean[[#This Row],[Delay_Days]]&gt;0,"Delayed by "&amp;TEXT(tbl_Tasks_Clean[[#This Row],[Delay_Days]],"0")&amp;" days",IF(tbl_Tasks_Clean[[#This Row],[Delay_Days]]&lt;0,"Early by "&amp;TEXT(-tbl_Tasks_Clean[[#This Row],[Delay_Days]],"0")&amp;" days","On schedule"))</f>
        <v>On schedule</v>
      </c>
    </row>
    <row r="248" spans="1:26" x14ac:dyDescent="0.3">
      <c r="A248" t="s">
        <v>1221</v>
      </c>
      <c r="B248" t="s">
        <v>113</v>
      </c>
      <c r="C248" t="s">
        <v>114</v>
      </c>
      <c r="D248" t="s">
        <v>1222</v>
      </c>
      <c r="E248" t="s">
        <v>164</v>
      </c>
      <c r="F248" t="s">
        <v>209</v>
      </c>
      <c r="G248" t="s">
        <v>350</v>
      </c>
      <c r="H248" t="s">
        <v>356</v>
      </c>
      <c r="I248">
        <v>2500</v>
      </c>
      <c r="J248">
        <v>3146</v>
      </c>
      <c r="K248" s="22"/>
      <c r="L248" s="22"/>
      <c r="M248" s="22"/>
      <c r="O248">
        <v>0</v>
      </c>
      <c r="P248" t="s">
        <v>115</v>
      </c>
      <c r="Q248" t="s">
        <v>116</v>
      </c>
      <c r="R248">
        <v>300000</v>
      </c>
      <c r="S248" t="s">
        <v>206</v>
      </c>
      <c r="T248">
        <v>250</v>
      </c>
      <c r="U248" s="29">
        <f>tbl_Tasks_Clean[[#This Row],[Actual_Cost]]-tbl_Tasks_Clean[[#This Row],[Planned_Cost]]</f>
        <v>646</v>
      </c>
      <c r="V248" s="30">
        <f>IFERROR(tbl_Tasks_Clean[[#This Row],[Cost_Variance]]/tbl_Tasks_Clean[[#This Row],[Planned_Cost]],0)</f>
        <v>0.25840000000000002</v>
      </c>
      <c r="W248" t="str">
        <f>IF(AND(tbl_Tasks_Clean[[#This Row],[Status]]="Completed",tbl_Tasks_Clean[[#This Row],[Delay_Days]]&lt;=0),"On Time",IF(AND(tbl_Tasks_Clean[[#This Row],[Status]]="Completed",tbl_Tasks_Clean[[#This Row],[Delay_Days]]&gt;0),"Late","N/A"))</f>
        <v>N/A</v>
      </c>
      <c r="X248" s="29" t="str" cm="1">
        <f t="array" ref="X248">_xlfn.IFS(tbl_Tasks_Clean[[#This Row],[Planned_Duration_Days]]&lt;=7,"Short (&lt;=7 days)",tbl_Tasks_Clean[[#This Row],[Planned_Duration_Days]]&lt;=20,"Medium (8-20 days)",TRUE,"Long (&gt;20 days)")</f>
        <v>Short (&lt;=7 days)</v>
      </c>
      <c r="Y248" s="29" t="str">
        <f>INDEX(Projects!$D:$D,MATCH(tbl_Tasks_Clean[[#This Row],[Project_ID]],Projects!$A:$A,0))</f>
        <v>Nourhan Tarek</v>
      </c>
      <c r="Z248" s="29" t="str">
        <f>IF(tbl_Tasks_Clean[[#This Row],[Delay_Days]]&gt;0,"Delayed by "&amp;TEXT(tbl_Tasks_Clean[[#This Row],[Delay_Days]],"0")&amp;" days",IF(tbl_Tasks_Clean[[#This Row],[Delay_Days]]&lt;0,"Early by "&amp;TEXT(-tbl_Tasks_Clean[[#This Row],[Delay_Days]],"0")&amp;" days","On schedule"))</f>
        <v>On schedule</v>
      </c>
    </row>
    <row r="249" spans="1:26" x14ac:dyDescent="0.3">
      <c r="A249" t="s">
        <v>1224</v>
      </c>
      <c r="B249" t="s">
        <v>105</v>
      </c>
      <c r="C249" t="s">
        <v>106</v>
      </c>
      <c r="D249" t="s">
        <v>612</v>
      </c>
      <c r="E249" t="s">
        <v>187</v>
      </c>
      <c r="F249" t="s">
        <v>209</v>
      </c>
      <c r="G249" t="s">
        <v>281</v>
      </c>
      <c r="H249" t="s">
        <v>269</v>
      </c>
      <c r="I249">
        <v>4000</v>
      </c>
      <c r="J249">
        <v>5387</v>
      </c>
      <c r="K249" s="22">
        <v>45420</v>
      </c>
      <c r="L249" s="22">
        <v>45445</v>
      </c>
      <c r="M249" s="22">
        <v>45444</v>
      </c>
      <c r="N249">
        <v>25</v>
      </c>
      <c r="O249">
        <v>-1</v>
      </c>
      <c r="P249" t="s">
        <v>107</v>
      </c>
      <c r="Q249" t="s">
        <v>84</v>
      </c>
      <c r="R249">
        <v>120000</v>
      </c>
      <c r="S249" t="s">
        <v>206</v>
      </c>
      <c r="T249">
        <v>250</v>
      </c>
      <c r="U249" s="29">
        <f>tbl_Tasks_Clean[[#This Row],[Actual_Cost]]-tbl_Tasks_Clean[[#This Row],[Planned_Cost]]</f>
        <v>1387</v>
      </c>
      <c r="V249" s="30">
        <f>IFERROR(tbl_Tasks_Clean[[#This Row],[Cost_Variance]]/tbl_Tasks_Clean[[#This Row],[Planned_Cost]],0)</f>
        <v>0.34675</v>
      </c>
      <c r="W249" t="str">
        <f>IF(AND(tbl_Tasks_Clean[[#This Row],[Status]]="Completed",tbl_Tasks_Clean[[#This Row],[Delay_Days]]&lt;=0),"On Time",IF(AND(tbl_Tasks_Clean[[#This Row],[Status]]="Completed",tbl_Tasks_Clean[[#This Row],[Delay_Days]]&gt;0),"Late","N/A"))</f>
        <v>N/A</v>
      </c>
      <c r="X249" s="29" t="str" cm="1">
        <f t="array" ref="X249">_xlfn.IFS(tbl_Tasks_Clean[[#This Row],[Planned_Duration_Days]]&lt;=7,"Short (&lt;=7 days)",tbl_Tasks_Clean[[#This Row],[Planned_Duration_Days]]&lt;=20,"Medium (8-20 days)",TRUE,"Long (&gt;20 days)")</f>
        <v>Long (&gt;20 days)</v>
      </c>
      <c r="Y249" s="29" t="str">
        <f>INDEX(Projects!$D:$D,MATCH(tbl_Tasks_Clean[[#This Row],[Project_ID]],Projects!$A:$A,0))</f>
        <v>Mona Farid</v>
      </c>
      <c r="Z249" s="29" t="str">
        <f>IF(tbl_Tasks_Clean[[#This Row],[Delay_Days]]&gt;0,"Delayed by "&amp;TEXT(tbl_Tasks_Clean[[#This Row],[Delay_Days]],"0")&amp;" days",IF(tbl_Tasks_Clean[[#This Row],[Delay_Days]]&lt;0,"Early by "&amp;TEXT(-tbl_Tasks_Clean[[#This Row],[Delay_Days]],"0")&amp;" days","On schedule"))</f>
        <v>Early by 1 days</v>
      </c>
    </row>
    <row r="250" spans="1:26" x14ac:dyDescent="0.3">
      <c r="A250" t="s">
        <v>1227</v>
      </c>
      <c r="B250" t="s">
        <v>118</v>
      </c>
      <c r="C250" t="s">
        <v>119</v>
      </c>
      <c r="D250" t="s">
        <v>1228</v>
      </c>
      <c r="E250" t="s">
        <v>206</v>
      </c>
      <c r="F250" t="s">
        <v>158</v>
      </c>
      <c r="G250" t="s">
        <v>250</v>
      </c>
      <c r="H250" t="s">
        <v>314</v>
      </c>
      <c r="I250">
        <v>1500</v>
      </c>
      <c r="J250">
        <v>2021</v>
      </c>
      <c r="K250" s="22">
        <v>45354</v>
      </c>
      <c r="L250" s="22">
        <v>45358</v>
      </c>
      <c r="M250" s="22">
        <v>45356</v>
      </c>
      <c r="N250">
        <v>4</v>
      </c>
      <c r="O250">
        <v>-2</v>
      </c>
      <c r="P250" t="s">
        <v>120</v>
      </c>
      <c r="Q250" t="s">
        <v>99</v>
      </c>
      <c r="R250">
        <v>100000</v>
      </c>
      <c r="S250" t="s">
        <v>150</v>
      </c>
      <c r="T250">
        <v>180</v>
      </c>
      <c r="U250" s="29">
        <f>tbl_Tasks_Clean[[#This Row],[Actual_Cost]]-tbl_Tasks_Clean[[#This Row],[Planned_Cost]]</f>
        <v>521</v>
      </c>
      <c r="V250" s="30">
        <f>IFERROR(tbl_Tasks_Clean[[#This Row],[Cost_Variance]]/tbl_Tasks_Clean[[#This Row],[Planned_Cost]],0)</f>
        <v>0.34733333333333333</v>
      </c>
      <c r="W250" t="str">
        <f>IF(AND(tbl_Tasks_Clean[[#This Row],[Status]]="Completed",tbl_Tasks_Clean[[#This Row],[Delay_Days]]&lt;=0),"On Time",IF(AND(tbl_Tasks_Clean[[#This Row],[Status]]="Completed",tbl_Tasks_Clean[[#This Row],[Delay_Days]]&gt;0),"Late","N/A"))</f>
        <v>On Time</v>
      </c>
      <c r="X250" s="29" t="str" cm="1">
        <f t="array" ref="X250">_xlfn.IFS(tbl_Tasks_Clean[[#This Row],[Planned_Duration_Days]]&lt;=7,"Short (&lt;=7 days)",tbl_Tasks_Clean[[#This Row],[Planned_Duration_Days]]&lt;=20,"Medium (8-20 days)",TRUE,"Long (&gt;20 days)")</f>
        <v>Short (&lt;=7 days)</v>
      </c>
      <c r="Y250" s="29" t="str">
        <f>INDEX(Projects!$D:$D,MATCH(tbl_Tasks_Clean[[#This Row],[Project_ID]],Projects!$A:$A,0))</f>
        <v>Laila Samir</v>
      </c>
      <c r="Z250" s="29" t="str">
        <f>IF(tbl_Tasks_Clean[[#This Row],[Delay_Days]]&gt;0,"Delayed by "&amp;TEXT(tbl_Tasks_Clean[[#This Row],[Delay_Days]],"0")&amp;" days",IF(tbl_Tasks_Clean[[#This Row],[Delay_Days]]&lt;0,"Early by "&amp;TEXT(-tbl_Tasks_Clean[[#This Row],[Delay_Days]],"0")&amp;" days","On schedule"))</f>
        <v>Early by 2 days</v>
      </c>
    </row>
    <row r="251" spans="1:26" x14ac:dyDescent="0.3">
      <c r="A251" t="s">
        <v>1230</v>
      </c>
      <c r="B251" t="s">
        <v>81</v>
      </c>
      <c r="C251" t="s">
        <v>82</v>
      </c>
      <c r="D251" t="s">
        <v>710</v>
      </c>
      <c r="E251" t="s">
        <v>150</v>
      </c>
      <c r="F251" t="s">
        <v>180</v>
      </c>
      <c r="G251" t="s">
        <v>350</v>
      </c>
      <c r="H251" t="s">
        <v>356</v>
      </c>
      <c r="I251">
        <v>3000</v>
      </c>
      <c r="J251">
        <v>2378</v>
      </c>
      <c r="K251" s="22">
        <v>45592</v>
      </c>
      <c r="L251" s="22">
        <v>45601</v>
      </c>
      <c r="M251" s="22">
        <v>45602</v>
      </c>
      <c r="N251">
        <v>9</v>
      </c>
      <c r="O251">
        <v>1</v>
      </c>
      <c r="P251" t="s">
        <v>83</v>
      </c>
      <c r="Q251" t="s">
        <v>84</v>
      </c>
      <c r="R251">
        <v>75000</v>
      </c>
      <c r="S251" t="s">
        <v>177</v>
      </c>
      <c r="T251">
        <v>280</v>
      </c>
      <c r="U251" s="29">
        <f>tbl_Tasks_Clean[[#This Row],[Actual_Cost]]-tbl_Tasks_Clean[[#This Row],[Planned_Cost]]</f>
        <v>-622</v>
      </c>
      <c r="V251" s="30">
        <f>IFERROR(tbl_Tasks_Clean[[#This Row],[Cost_Variance]]/tbl_Tasks_Clean[[#This Row],[Planned_Cost]],0)</f>
        <v>-0.20733333333333334</v>
      </c>
      <c r="W251" t="str">
        <f>IF(AND(tbl_Tasks_Clean[[#This Row],[Status]]="Completed",tbl_Tasks_Clean[[#This Row],[Delay_Days]]&lt;=0),"On Time",IF(AND(tbl_Tasks_Clean[[#This Row],[Status]]="Completed",tbl_Tasks_Clean[[#This Row],[Delay_Days]]&gt;0),"Late","N/A"))</f>
        <v>N/A</v>
      </c>
      <c r="X251" s="29" t="str" cm="1">
        <f t="array" ref="X251">_xlfn.IFS(tbl_Tasks_Clean[[#This Row],[Planned_Duration_Days]]&lt;=7,"Short (&lt;=7 days)",tbl_Tasks_Clean[[#This Row],[Planned_Duration_Days]]&lt;=20,"Medium (8-20 days)",TRUE,"Long (&gt;20 days)")</f>
        <v>Medium (8-20 days)</v>
      </c>
      <c r="Y251" s="29" t="str">
        <f>INDEX(Projects!$D:$D,MATCH(tbl_Tasks_Clean[[#This Row],[Project_ID]],Projects!$A:$A,0))</f>
        <v>Mona Farid</v>
      </c>
      <c r="Z251" s="29" t="str">
        <f>IF(tbl_Tasks_Clean[[#This Row],[Delay_Days]]&gt;0,"Delayed by "&amp;TEXT(tbl_Tasks_Clean[[#This Row],[Delay_Days]],"0")&amp;" days",IF(tbl_Tasks_Clean[[#This Row],[Delay_Days]]&lt;0,"Early by "&amp;TEXT(-tbl_Tasks_Clean[[#This Row],[Delay_Days]],"0")&amp;" days","On schedule"))</f>
        <v>Delayed by 1 days</v>
      </c>
    </row>
    <row r="252" spans="1:26" x14ac:dyDescent="0.3">
      <c r="A252" t="s">
        <v>1233</v>
      </c>
      <c r="B252" t="s">
        <v>101</v>
      </c>
      <c r="C252" t="s">
        <v>102</v>
      </c>
      <c r="D252" t="s">
        <v>561</v>
      </c>
      <c r="E252" t="s">
        <v>177</v>
      </c>
      <c r="F252" t="s">
        <v>222</v>
      </c>
      <c r="G252" t="s">
        <v>250</v>
      </c>
      <c r="H252" t="s">
        <v>314</v>
      </c>
      <c r="I252">
        <v>8000</v>
      </c>
      <c r="J252">
        <v>8647</v>
      </c>
      <c r="K252" s="22">
        <v>45434</v>
      </c>
      <c r="L252" s="22">
        <v>45448</v>
      </c>
      <c r="M252" s="22">
        <v>45445</v>
      </c>
      <c r="N252">
        <v>14</v>
      </c>
      <c r="O252">
        <v>-3</v>
      </c>
      <c r="P252" t="s">
        <v>103</v>
      </c>
      <c r="Q252" t="s">
        <v>94</v>
      </c>
      <c r="R252">
        <v>50000</v>
      </c>
      <c r="S252" t="s">
        <v>219</v>
      </c>
      <c r="T252">
        <v>250</v>
      </c>
      <c r="U252" s="29">
        <f>tbl_Tasks_Clean[[#This Row],[Actual_Cost]]-tbl_Tasks_Clean[[#This Row],[Planned_Cost]]</f>
        <v>647</v>
      </c>
      <c r="V252" s="30">
        <f>IFERROR(tbl_Tasks_Clean[[#This Row],[Cost_Variance]]/tbl_Tasks_Clean[[#This Row],[Planned_Cost]],0)</f>
        <v>8.0875000000000002E-2</v>
      </c>
      <c r="W252" t="str">
        <f>IF(AND(tbl_Tasks_Clean[[#This Row],[Status]]="Completed",tbl_Tasks_Clean[[#This Row],[Delay_Days]]&lt;=0),"On Time",IF(AND(tbl_Tasks_Clean[[#This Row],[Status]]="Completed",tbl_Tasks_Clean[[#This Row],[Delay_Days]]&gt;0),"Late","N/A"))</f>
        <v>On Time</v>
      </c>
      <c r="X252" s="29" t="str" cm="1">
        <f t="array" ref="X252">_xlfn.IFS(tbl_Tasks_Clean[[#This Row],[Planned_Duration_Days]]&lt;=7,"Short (&lt;=7 days)",tbl_Tasks_Clean[[#This Row],[Planned_Duration_Days]]&lt;=20,"Medium (8-20 days)",TRUE,"Long (&gt;20 days)")</f>
        <v>Medium (8-20 days)</v>
      </c>
      <c r="Y252" s="29" t="str">
        <f>INDEX(Projects!$D:$D,MATCH(tbl_Tasks_Clean[[#This Row],[Project_ID]],Projects!$A:$A,0))</f>
        <v>Ahmed Nabil</v>
      </c>
      <c r="Z252" s="29" t="str">
        <f>IF(tbl_Tasks_Clean[[#This Row],[Delay_Days]]&gt;0,"Delayed by "&amp;TEXT(tbl_Tasks_Clean[[#This Row],[Delay_Days]],"0")&amp;" days",IF(tbl_Tasks_Clean[[#This Row],[Delay_Days]]&lt;0,"Early by "&amp;TEXT(-tbl_Tasks_Clean[[#This Row],[Delay_Days]],"0")&amp;" days","On schedule"))</f>
        <v>Early by 3 days</v>
      </c>
    </row>
    <row r="253" spans="1:26" x14ac:dyDescent="0.3">
      <c r="A253" t="s">
        <v>1236</v>
      </c>
      <c r="B253" t="s">
        <v>122</v>
      </c>
      <c r="C253" t="s">
        <v>123</v>
      </c>
      <c r="D253" t="s">
        <v>1237</v>
      </c>
      <c r="E253" t="s">
        <v>164</v>
      </c>
      <c r="F253" t="s">
        <v>224</v>
      </c>
      <c r="G253" t="s">
        <v>281</v>
      </c>
      <c r="H253" t="s">
        <v>287</v>
      </c>
      <c r="I253">
        <v>8000</v>
      </c>
      <c r="J253">
        <v>2241</v>
      </c>
      <c r="K253" s="22">
        <v>45527</v>
      </c>
      <c r="L253" s="22">
        <v>45533</v>
      </c>
      <c r="M253" s="22"/>
      <c r="N253">
        <v>6</v>
      </c>
      <c r="O253">
        <v>0</v>
      </c>
      <c r="P253" t="s">
        <v>111</v>
      </c>
      <c r="Q253" t="s">
        <v>124</v>
      </c>
      <c r="R253">
        <v>150000</v>
      </c>
      <c r="S253" t="s">
        <v>219</v>
      </c>
      <c r="T253">
        <v>200</v>
      </c>
      <c r="U253" s="29">
        <f>tbl_Tasks_Clean[[#This Row],[Actual_Cost]]-tbl_Tasks_Clean[[#This Row],[Planned_Cost]]</f>
        <v>-5759</v>
      </c>
      <c r="V253" s="30">
        <f>IFERROR(tbl_Tasks_Clean[[#This Row],[Cost_Variance]]/tbl_Tasks_Clean[[#This Row],[Planned_Cost]],0)</f>
        <v>-0.71987500000000004</v>
      </c>
      <c r="W253" t="str">
        <f>IF(AND(tbl_Tasks_Clean[[#This Row],[Status]]="Completed",tbl_Tasks_Clean[[#This Row],[Delay_Days]]&lt;=0),"On Time",IF(AND(tbl_Tasks_Clean[[#This Row],[Status]]="Completed",tbl_Tasks_Clean[[#This Row],[Delay_Days]]&gt;0),"Late","N/A"))</f>
        <v>N/A</v>
      </c>
      <c r="X253" s="29" t="str" cm="1">
        <f t="array" ref="X253">_xlfn.IFS(tbl_Tasks_Clean[[#This Row],[Planned_Duration_Days]]&lt;=7,"Short (&lt;=7 days)",tbl_Tasks_Clean[[#This Row],[Planned_Duration_Days]]&lt;=20,"Medium (8-20 days)",TRUE,"Long (&gt;20 days)")</f>
        <v>Short (&lt;=7 days)</v>
      </c>
      <c r="Y253" s="29" t="str">
        <f>INDEX(Projects!$D:$D,MATCH(tbl_Tasks_Clean[[#This Row],[Project_ID]],Projects!$A:$A,0))</f>
        <v>Sara Hassan</v>
      </c>
      <c r="Z253" s="29" t="str">
        <f>IF(tbl_Tasks_Clean[[#This Row],[Delay_Days]]&gt;0,"Delayed by "&amp;TEXT(tbl_Tasks_Clean[[#This Row],[Delay_Days]],"0")&amp;" days",IF(tbl_Tasks_Clean[[#This Row],[Delay_Days]]&lt;0,"Early by "&amp;TEXT(-tbl_Tasks_Clean[[#This Row],[Delay_Days]],"0")&amp;" days","On schedule"))</f>
        <v>On schedule</v>
      </c>
    </row>
    <row r="254" spans="1:26" x14ac:dyDescent="0.3">
      <c r="A254" t="s">
        <v>1240</v>
      </c>
      <c r="B254" t="s">
        <v>133</v>
      </c>
      <c r="C254" t="s">
        <v>134</v>
      </c>
      <c r="D254" t="s">
        <v>1191</v>
      </c>
      <c r="E254" t="s">
        <v>177</v>
      </c>
      <c r="F254" t="s">
        <v>153</v>
      </c>
      <c r="G254" t="s">
        <v>281</v>
      </c>
      <c r="H254" t="s">
        <v>430</v>
      </c>
      <c r="I254">
        <v>2000</v>
      </c>
      <c r="J254">
        <v>0</v>
      </c>
      <c r="K254" s="22"/>
      <c r="L254" s="22"/>
      <c r="M254" s="22"/>
      <c r="O254">
        <v>0</v>
      </c>
      <c r="P254" t="s">
        <v>111</v>
      </c>
      <c r="Q254" t="s">
        <v>116</v>
      </c>
      <c r="R254">
        <v>200000</v>
      </c>
      <c r="S254" t="s">
        <v>150</v>
      </c>
      <c r="T254">
        <v>220</v>
      </c>
      <c r="U254" s="29">
        <f>tbl_Tasks_Clean[[#This Row],[Actual_Cost]]-tbl_Tasks_Clean[[#This Row],[Planned_Cost]]</f>
        <v>-2000</v>
      </c>
      <c r="V254" s="30">
        <f>IFERROR(tbl_Tasks_Clean[[#This Row],[Cost_Variance]]/tbl_Tasks_Clean[[#This Row],[Planned_Cost]],0)</f>
        <v>-1</v>
      </c>
      <c r="W254" t="str">
        <f>IF(AND(tbl_Tasks_Clean[[#This Row],[Status]]="Completed",tbl_Tasks_Clean[[#This Row],[Delay_Days]]&lt;=0),"On Time",IF(AND(tbl_Tasks_Clean[[#This Row],[Status]]="Completed",tbl_Tasks_Clean[[#This Row],[Delay_Days]]&gt;0),"Late","N/A"))</f>
        <v>N/A</v>
      </c>
      <c r="X254" s="29" t="str" cm="1">
        <f t="array" ref="X254">_xlfn.IFS(tbl_Tasks_Clean[[#This Row],[Planned_Duration_Days]]&lt;=7,"Short (&lt;=7 days)",tbl_Tasks_Clean[[#This Row],[Planned_Duration_Days]]&lt;=20,"Medium (8-20 days)",TRUE,"Long (&gt;20 days)")</f>
        <v>Short (&lt;=7 days)</v>
      </c>
      <c r="Y254" s="29" t="str">
        <f>INDEX(Projects!$D:$D,MATCH(tbl_Tasks_Clean[[#This Row],[Project_ID]],Projects!$A:$A,0))</f>
        <v>Nourhan Tarek</v>
      </c>
      <c r="Z254" s="29" t="str">
        <f>IF(tbl_Tasks_Clean[[#This Row],[Delay_Days]]&gt;0,"Delayed by "&amp;TEXT(tbl_Tasks_Clean[[#This Row],[Delay_Days]],"0")&amp;" days",IF(tbl_Tasks_Clean[[#This Row],[Delay_Days]]&lt;0,"Early by "&amp;TEXT(-tbl_Tasks_Clean[[#This Row],[Delay_Days]],"0")&amp;" days","On schedule"))</f>
        <v>On schedule</v>
      </c>
    </row>
    <row r="255" spans="1:26" x14ac:dyDescent="0.3">
      <c r="A255" t="s">
        <v>1241</v>
      </c>
      <c r="B255" t="s">
        <v>81</v>
      </c>
      <c r="C255" t="s">
        <v>82</v>
      </c>
      <c r="D255" t="s">
        <v>1242</v>
      </c>
      <c r="E255" t="s">
        <v>150</v>
      </c>
      <c r="F255" t="s">
        <v>205</v>
      </c>
      <c r="G255" t="s">
        <v>350</v>
      </c>
      <c r="H255" t="s">
        <v>356</v>
      </c>
      <c r="I255">
        <v>3000</v>
      </c>
      <c r="J255">
        <v>3208</v>
      </c>
      <c r="K255" s="22">
        <v>45576</v>
      </c>
      <c r="L255" s="22">
        <v>45596</v>
      </c>
      <c r="M255" s="22">
        <v>45594</v>
      </c>
      <c r="N255">
        <v>20</v>
      </c>
      <c r="O255">
        <v>-2</v>
      </c>
      <c r="P255" t="s">
        <v>83</v>
      </c>
      <c r="Q255" t="s">
        <v>84</v>
      </c>
      <c r="R255">
        <v>75000</v>
      </c>
      <c r="S255" t="s">
        <v>206</v>
      </c>
      <c r="T255">
        <v>150</v>
      </c>
      <c r="U255" s="29">
        <f>tbl_Tasks_Clean[[#This Row],[Actual_Cost]]-tbl_Tasks_Clean[[#This Row],[Planned_Cost]]</f>
        <v>208</v>
      </c>
      <c r="V255" s="30">
        <f>IFERROR(tbl_Tasks_Clean[[#This Row],[Cost_Variance]]/tbl_Tasks_Clean[[#This Row],[Planned_Cost]],0)</f>
        <v>6.933333333333333E-2</v>
      </c>
      <c r="W255" t="str">
        <f>IF(AND(tbl_Tasks_Clean[[#This Row],[Status]]="Completed",tbl_Tasks_Clean[[#This Row],[Delay_Days]]&lt;=0),"On Time",IF(AND(tbl_Tasks_Clean[[#This Row],[Status]]="Completed",tbl_Tasks_Clean[[#This Row],[Delay_Days]]&gt;0),"Late","N/A"))</f>
        <v>N/A</v>
      </c>
      <c r="X255" s="29" t="str" cm="1">
        <f t="array" ref="X255">_xlfn.IFS(tbl_Tasks_Clean[[#This Row],[Planned_Duration_Days]]&lt;=7,"Short (&lt;=7 days)",tbl_Tasks_Clean[[#This Row],[Planned_Duration_Days]]&lt;=20,"Medium (8-20 days)",TRUE,"Long (&gt;20 days)")</f>
        <v>Medium (8-20 days)</v>
      </c>
      <c r="Y255" s="29" t="str">
        <f>INDEX(Projects!$D:$D,MATCH(tbl_Tasks_Clean[[#This Row],[Project_ID]],Projects!$A:$A,0))</f>
        <v>Mona Farid</v>
      </c>
      <c r="Z255" s="29" t="str">
        <f>IF(tbl_Tasks_Clean[[#This Row],[Delay_Days]]&gt;0,"Delayed by "&amp;TEXT(tbl_Tasks_Clean[[#This Row],[Delay_Days]],"0")&amp;" days",IF(tbl_Tasks_Clean[[#This Row],[Delay_Days]]&lt;0,"Early by "&amp;TEXT(-tbl_Tasks_Clean[[#This Row],[Delay_Days]],"0")&amp;" days","On schedule"))</f>
        <v>Early by 2 days</v>
      </c>
    </row>
    <row r="256" spans="1:26" x14ac:dyDescent="0.3">
      <c r="A256" t="s">
        <v>1245</v>
      </c>
      <c r="B256" t="s">
        <v>129</v>
      </c>
      <c r="C256" t="s">
        <v>130</v>
      </c>
      <c r="D256" t="s">
        <v>625</v>
      </c>
      <c r="E256" t="s">
        <v>164</v>
      </c>
      <c r="F256" t="s">
        <v>193</v>
      </c>
      <c r="G256" t="s">
        <v>281</v>
      </c>
      <c r="H256" t="s">
        <v>319</v>
      </c>
      <c r="I256">
        <v>2000</v>
      </c>
      <c r="J256">
        <v>1335</v>
      </c>
      <c r="K256" s="22">
        <v>45395</v>
      </c>
      <c r="L256" s="22">
        <v>45425</v>
      </c>
      <c r="M256" s="22"/>
      <c r="N256">
        <v>30</v>
      </c>
      <c r="O256">
        <v>0</v>
      </c>
      <c r="P256" t="s">
        <v>131</v>
      </c>
      <c r="Q256" t="s">
        <v>94</v>
      </c>
      <c r="R256">
        <v>250000</v>
      </c>
      <c r="S256" t="s">
        <v>187</v>
      </c>
      <c r="T256">
        <v>300</v>
      </c>
      <c r="U256" s="29">
        <f>tbl_Tasks_Clean[[#This Row],[Actual_Cost]]-tbl_Tasks_Clean[[#This Row],[Planned_Cost]]</f>
        <v>-665</v>
      </c>
      <c r="V256" s="30">
        <f>IFERROR(tbl_Tasks_Clean[[#This Row],[Cost_Variance]]/tbl_Tasks_Clean[[#This Row],[Planned_Cost]],0)</f>
        <v>-0.33250000000000002</v>
      </c>
      <c r="W256" t="str">
        <f>IF(AND(tbl_Tasks_Clean[[#This Row],[Status]]="Completed",tbl_Tasks_Clean[[#This Row],[Delay_Days]]&lt;=0),"On Time",IF(AND(tbl_Tasks_Clean[[#This Row],[Status]]="Completed",tbl_Tasks_Clean[[#This Row],[Delay_Days]]&gt;0),"Late","N/A"))</f>
        <v>N/A</v>
      </c>
      <c r="X256" s="29" t="str" cm="1">
        <f t="array" ref="X256">_xlfn.IFS(tbl_Tasks_Clean[[#This Row],[Planned_Duration_Days]]&lt;=7,"Short (&lt;=7 days)",tbl_Tasks_Clean[[#This Row],[Planned_Duration_Days]]&lt;=20,"Medium (8-20 days)",TRUE,"Long (&gt;20 days)")</f>
        <v>Long (&gt;20 days)</v>
      </c>
      <c r="Y256" s="29" t="str">
        <f>INDEX(Projects!$D:$D,MATCH(tbl_Tasks_Clean[[#This Row],[Project_ID]],Projects!$A:$A,0))</f>
        <v>Ahmed Nabil</v>
      </c>
      <c r="Z256" s="29" t="str">
        <f>IF(tbl_Tasks_Clean[[#This Row],[Delay_Days]]&gt;0,"Delayed by "&amp;TEXT(tbl_Tasks_Clean[[#This Row],[Delay_Days]],"0")&amp;" days",IF(tbl_Tasks_Clean[[#This Row],[Delay_Days]]&lt;0,"Early by "&amp;TEXT(-tbl_Tasks_Clean[[#This Row],[Delay_Days]],"0")&amp;" days","On schedule"))</f>
        <v>On schedule</v>
      </c>
    </row>
    <row r="257" spans="1:26" x14ac:dyDescent="0.3">
      <c r="A257" t="s">
        <v>1248</v>
      </c>
      <c r="B257" t="s">
        <v>122</v>
      </c>
      <c r="C257" t="s">
        <v>123</v>
      </c>
      <c r="D257" t="s">
        <v>1094</v>
      </c>
      <c r="E257" t="s">
        <v>150</v>
      </c>
      <c r="F257" t="s">
        <v>161</v>
      </c>
      <c r="G257" t="s">
        <v>350</v>
      </c>
      <c r="H257" t="s">
        <v>314</v>
      </c>
      <c r="I257">
        <v>3000</v>
      </c>
      <c r="J257">
        <v>2451</v>
      </c>
      <c r="K257" s="22">
        <v>45467</v>
      </c>
      <c r="L257" s="22">
        <v>45486</v>
      </c>
      <c r="M257" s="22">
        <v>45487</v>
      </c>
      <c r="N257">
        <v>19</v>
      </c>
      <c r="O257">
        <v>1</v>
      </c>
      <c r="P257" t="s">
        <v>111</v>
      </c>
      <c r="Q257" t="s">
        <v>124</v>
      </c>
      <c r="R257">
        <v>150000</v>
      </c>
      <c r="S257" t="s">
        <v>150</v>
      </c>
      <c r="T257">
        <v>220</v>
      </c>
      <c r="U257" s="29">
        <f>tbl_Tasks_Clean[[#This Row],[Actual_Cost]]-tbl_Tasks_Clean[[#This Row],[Planned_Cost]]</f>
        <v>-549</v>
      </c>
      <c r="V257" s="30">
        <f>IFERROR(tbl_Tasks_Clean[[#This Row],[Cost_Variance]]/tbl_Tasks_Clean[[#This Row],[Planned_Cost]],0)</f>
        <v>-0.183</v>
      </c>
      <c r="W257" t="str">
        <f>IF(AND(tbl_Tasks_Clean[[#This Row],[Status]]="Completed",tbl_Tasks_Clean[[#This Row],[Delay_Days]]&lt;=0),"On Time",IF(AND(tbl_Tasks_Clean[[#This Row],[Status]]="Completed",tbl_Tasks_Clean[[#This Row],[Delay_Days]]&gt;0),"Late","N/A"))</f>
        <v>Late</v>
      </c>
      <c r="X257" s="29" t="str" cm="1">
        <f t="array" ref="X257">_xlfn.IFS(tbl_Tasks_Clean[[#This Row],[Planned_Duration_Days]]&lt;=7,"Short (&lt;=7 days)",tbl_Tasks_Clean[[#This Row],[Planned_Duration_Days]]&lt;=20,"Medium (8-20 days)",TRUE,"Long (&gt;20 days)")</f>
        <v>Medium (8-20 days)</v>
      </c>
      <c r="Y257" s="29" t="str">
        <f>INDEX(Projects!$D:$D,MATCH(tbl_Tasks_Clean[[#This Row],[Project_ID]],Projects!$A:$A,0))</f>
        <v>Sara Hassan</v>
      </c>
      <c r="Z257" s="29" t="str">
        <f>IF(tbl_Tasks_Clean[[#This Row],[Delay_Days]]&gt;0,"Delayed by "&amp;TEXT(tbl_Tasks_Clean[[#This Row],[Delay_Days]],"0")&amp;" days",IF(tbl_Tasks_Clean[[#This Row],[Delay_Days]]&lt;0,"Early by "&amp;TEXT(-tbl_Tasks_Clean[[#This Row],[Delay_Days]],"0")&amp;" days","On schedule"))</f>
        <v>Delayed by 1 days</v>
      </c>
    </row>
    <row r="258" spans="1:26" x14ac:dyDescent="0.3">
      <c r="A258" t="s">
        <v>1252</v>
      </c>
      <c r="B258" t="s">
        <v>109</v>
      </c>
      <c r="C258" t="s">
        <v>110</v>
      </c>
      <c r="D258" t="s">
        <v>800</v>
      </c>
      <c r="E258" t="s">
        <v>164</v>
      </c>
      <c r="F258" t="s">
        <v>180</v>
      </c>
      <c r="G258" t="s">
        <v>281</v>
      </c>
      <c r="H258" t="s">
        <v>287</v>
      </c>
      <c r="I258">
        <v>8000</v>
      </c>
      <c r="J258">
        <v>2238</v>
      </c>
      <c r="K258" s="22">
        <v>45531</v>
      </c>
      <c r="L258" s="22">
        <v>45536</v>
      </c>
      <c r="M258" s="22"/>
      <c r="N258">
        <v>5</v>
      </c>
      <c r="O258">
        <v>0</v>
      </c>
      <c r="P258" t="s">
        <v>111</v>
      </c>
      <c r="Q258" t="s">
        <v>99</v>
      </c>
      <c r="R258">
        <v>120000</v>
      </c>
      <c r="S258" t="s">
        <v>177</v>
      </c>
      <c r="T258">
        <v>280</v>
      </c>
      <c r="U258" s="29">
        <f>tbl_Tasks_Clean[[#This Row],[Actual_Cost]]-tbl_Tasks_Clean[[#This Row],[Planned_Cost]]</f>
        <v>-5762</v>
      </c>
      <c r="V258" s="30">
        <f>IFERROR(tbl_Tasks_Clean[[#This Row],[Cost_Variance]]/tbl_Tasks_Clean[[#This Row],[Planned_Cost]],0)</f>
        <v>-0.72024999999999995</v>
      </c>
      <c r="W258" t="str">
        <f>IF(AND(tbl_Tasks_Clean[[#This Row],[Status]]="Completed",tbl_Tasks_Clean[[#This Row],[Delay_Days]]&lt;=0),"On Time",IF(AND(tbl_Tasks_Clean[[#This Row],[Status]]="Completed",tbl_Tasks_Clean[[#This Row],[Delay_Days]]&gt;0),"Late","N/A"))</f>
        <v>N/A</v>
      </c>
      <c r="X258" s="29" t="str" cm="1">
        <f t="array" ref="X258">_xlfn.IFS(tbl_Tasks_Clean[[#This Row],[Planned_Duration_Days]]&lt;=7,"Short (&lt;=7 days)",tbl_Tasks_Clean[[#This Row],[Planned_Duration_Days]]&lt;=20,"Medium (8-20 days)",TRUE,"Long (&gt;20 days)")</f>
        <v>Short (&lt;=7 days)</v>
      </c>
      <c r="Y258" s="29" t="str">
        <f>INDEX(Projects!$D:$D,MATCH(tbl_Tasks_Clean[[#This Row],[Project_ID]],Projects!$A:$A,0))</f>
        <v>Laila Samir</v>
      </c>
      <c r="Z258" s="29" t="str">
        <f>IF(tbl_Tasks_Clean[[#This Row],[Delay_Days]]&gt;0,"Delayed by "&amp;TEXT(tbl_Tasks_Clean[[#This Row],[Delay_Days]],"0")&amp;" days",IF(tbl_Tasks_Clean[[#This Row],[Delay_Days]]&lt;0,"Early by "&amp;TEXT(-tbl_Tasks_Clean[[#This Row],[Delay_Days]],"0")&amp;" days","On schedule"))</f>
        <v>On schedule</v>
      </c>
    </row>
    <row r="259" spans="1:26" x14ac:dyDescent="0.3">
      <c r="A259" t="s">
        <v>1254</v>
      </c>
      <c r="B259" t="s">
        <v>113</v>
      </c>
      <c r="C259" t="s">
        <v>114</v>
      </c>
      <c r="D259" t="s">
        <v>1255</v>
      </c>
      <c r="E259" t="s">
        <v>206</v>
      </c>
      <c r="F259" t="s">
        <v>176</v>
      </c>
      <c r="G259" t="s">
        <v>350</v>
      </c>
      <c r="H259" t="s">
        <v>276</v>
      </c>
      <c r="I259">
        <v>1500</v>
      </c>
      <c r="J259">
        <v>0</v>
      </c>
      <c r="K259" s="22">
        <v>45459</v>
      </c>
      <c r="L259" s="22">
        <v>45469</v>
      </c>
      <c r="M259" s="22"/>
      <c r="N259">
        <v>10</v>
      </c>
      <c r="O259">
        <v>0</v>
      </c>
      <c r="P259" t="s">
        <v>115</v>
      </c>
      <c r="Q259" t="s">
        <v>116</v>
      </c>
      <c r="R259">
        <v>300000</v>
      </c>
      <c r="S259" t="s">
        <v>177</v>
      </c>
      <c r="T259">
        <v>250</v>
      </c>
      <c r="U259" s="29">
        <f>tbl_Tasks_Clean[[#This Row],[Actual_Cost]]-tbl_Tasks_Clean[[#This Row],[Planned_Cost]]</f>
        <v>-1500</v>
      </c>
      <c r="V259" s="30">
        <f>IFERROR(tbl_Tasks_Clean[[#This Row],[Cost_Variance]]/tbl_Tasks_Clean[[#This Row],[Planned_Cost]],0)</f>
        <v>-1</v>
      </c>
      <c r="W259" t="str">
        <f>IF(AND(tbl_Tasks_Clean[[#This Row],[Status]]="Completed",tbl_Tasks_Clean[[#This Row],[Delay_Days]]&lt;=0),"On Time",IF(AND(tbl_Tasks_Clean[[#This Row],[Status]]="Completed",tbl_Tasks_Clean[[#This Row],[Delay_Days]]&gt;0),"Late","N/A"))</f>
        <v>N/A</v>
      </c>
      <c r="X259" s="29" t="str" cm="1">
        <f t="array" ref="X259">_xlfn.IFS(tbl_Tasks_Clean[[#This Row],[Planned_Duration_Days]]&lt;=7,"Short (&lt;=7 days)",tbl_Tasks_Clean[[#This Row],[Planned_Duration_Days]]&lt;=20,"Medium (8-20 days)",TRUE,"Long (&gt;20 days)")</f>
        <v>Medium (8-20 days)</v>
      </c>
      <c r="Y259" s="29" t="str">
        <f>INDEX(Projects!$D:$D,MATCH(tbl_Tasks_Clean[[#This Row],[Project_ID]],Projects!$A:$A,0))</f>
        <v>Nourhan Tarek</v>
      </c>
      <c r="Z259" s="29" t="str">
        <f>IF(tbl_Tasks_Clean[[#This Row],[Delay_Days]]&gt;0,"Delayed by "&amp;TEXT(tbl_Tasks_Clean[[#This Row],[Delay_Days]],"0")&amp;" days",IF(tbl_Tasks_Clean[[#This Row],[Delay_Days]]&lt;0,"Early by "&amp;TEXT(-tbl_Tasks_Clean[[#This Row],[Delay_Days]],"0")&amp;" days","On schedule"))</f>
        <v>On schedule</v>
      </c>
    </row>
    <row r="260" spans="1:26" x14ac:dyDescent="0.3">
      <c r="A260" t="s">
        <v>1256</v>
      </c>
      <c r="B260" t="s">
        <v>129</v>
      </c>
      <c r="C260" t="s">
        <v>130</v>
      </c>
      <c r="D260" t="s">
        <v>600</v>
      </c>
      <c r="E260" t="s">
        <v>177</v>
      </c>
      <c r="F260" t="s">
        <v>216</v>
      </c>
      <c r="G260" t="s">
        <v>250</v>
      </c>
      <c r="H260" t="s">
        <v>314</v>
      </c>
      <c r="I260">
        <v>2500</v>
      </c>
      <c r="J260">
        <v>2372</v>
      </c>
      <c r="K260" s="22">
        <v>45400</v>
      </c>
      <c r="L260" s="22">
        <v>45423</v>
      </c>
      <c r="M260" s="22">
        <v>45420</v>
      </c>
      <c r="N260">
        <v>23</v>
      </c>
      <c r="O260">
        <v>-3</v>
      </c>
      <c r="P260" t="s">
        <v>131</v>
      </c>
      <c r="Q260" t="s">
        <v>94</v>
      </c>
      <c r="R260">
        <v>250000</v>
      </c>
      <c r="S260" t="s">
        <v>206</v>
      </c>
      <c r="T260">
        <v>200</v>
      </c>
      <c r="U260" s="29">
        <f>tbl_Tasks_Clean[[#This Row],[Actual_Cost]]-tbl_Tasks_Clean[[#This Row],[Planned_Cost]]</f>
        <v>-128</v>
      </c>
      <c r="V260" s="30">
        <f>IFERROR(tbl_Tasks_Clean[[#This Row],[Cost_Variance]]/tbl_Tasks_Clean[[#This Row],[Planned_Cost]],0)</f>
        <v>-5.1200000000000002E-2</v>
      </c>
      <c r="W260" t="str">
        <f>IF(AND(tbl_Tasks_Clean[[#This Row],[Status]]="Completed",tbl_Tasks_Clean[[#This Row],[Delay_Days]]&lt;=0),"On Time",IF(AND(tbl_Tasks_Clean[[#This Row],[Status]]="Completed",tbl_Tasks_Clean[[#This Row],[Delay_Days]]&gt;0),"Late","N/A"))</f>
        <v>On Time</v>
      </c>
      <c r="X260" s="29" t="str" cm="1">
        <f t="array" ref="X260">_xlfn.IFS(tbl_Tasks_Clean[[#This Row],[Planned_Duration_Days]]&lt;=7,"Short (&lt;=7 days)",tbl_Tasks_Clean[[#This Row],[Planned_Duration_Days]]&lt;=20,"Medium (8-20 days)",TRUE,"Long (&gt;20 days)")</f>
        <v>Long (&gt;20 days)</v>
      </c>
      <c r="Y260" s="29" t="str">
        <f>INDEX(Projects!$D:$D,MATCH(tbl_Tasks_Clean[[#This Row],[Project_ID]],Projects!$A:$A,0))</f>
        <v>Ahmed Nabil</v>
      </c>
      <c r="Z260" s="29" t="str">
        <f>IF(tbl_Tasks_Clean[[#This Row],[Delay_Days]]&gt;0,"Delayed by "&amp;TEXT(tbl_Tasks_Clean[[#This Row],[Delay_Days]],"0")&amp;" days",IF(tbl_Tasks_Clean[[#This Row],[Delay_Days]]&lt;0,"Early by "&amp;TEXT(-tbl_Tasks_Clean[[#This Row],[Delay_Days]],"0")&amp;" days","On schedule"))</f>
        <v>Early by 3 days</v>
      </c>
    </row>
    <row r="261" spans="1:26" x14ac:dyDescent="0.3">
      <c r="A261" t="s">
        <v>1258</v>
      </c>
      <c r="B261" t="s">
        <v>140</v>
      </c>
      <c r="C261" t="s">
        <v>141</v>
      </c>
      <c r="D261" t="s">
        <v>1449</v>
      </c>
      <c r="E261" t="s">
        <v>187</v>
      </c>
      <c r="F261" t="s">
        <v>222</v>
      </c>
      <c r="G261" t="s">
        <v>350</v>
      </c>
      <c r="H261" t="s">
        <v>287</v>
      </c>
      <c r="I261">
        <v>5000</v>
      </c>
      <c r="J261">
        <v>1935</v>
      </c>
      <c r="K261" s="22">
        <v>45443</v>
      </c>
      <c r="L261" s="22">
        <v>45456</v>
      </c>
      <c r="M261" s="22"/>
      <c r="N261">
        <v>13</v>
      </c>
      <c r="O261">
        <v>0</v>
      </c>
      <c r="P261" t="s">
        <v>111</v>
      </c>
      <c r="Q261" t="s">
        <v>116</v>
      </c>
      <c r="R261">
        <v>75000</v>
      </c>
      <c r="S261" t="s">
        <v>219</v>
      </c>
      <c r="T261">
        <v>250</v>
      </c>
      <c r="U261" s="29">
        <f>tbl_Tasks_Clean[[#This Row],[Actual_Cost]]-tbl_Tasks_Clean[[#This Row],[Planned_Cost]]</f>
        <v>-3065</v>
      </c>
      <c r="V261" s="30">
        <f>IFERROR(tbl_Tasks_Clean[[#This Row],[Cost_Variance]]/tbl_Tasks_Clean[[#This Row],[Planned_Cost]],0)</f>
        <v>-0.61299999999999999</v>
      </c>
      <c r="W261" t="str">
        <f>IF(AND(tbl_Tasks_Clean[[#This Row],[Status]]="Completed",tbl_Tasks_Clean[[#This Row],[Delay_Days]]&lt;=0),"On Time",IF(AND(tbl_Tasks_Clean[[#This Row],[Status]]="Completed",tbl_Tasks_Clean[[#This Row],[Delay_Days]]&gt;0),"Late","N/A"))</f>
        <v>N/A</v>
      </c>
      <c r="X261" s="29" t="str" cm="1">
        <f t="array" ref="X261">_xlfn.IFS(tbl_Tasks_Clean[[#This Row],[Planned_Duration_Days]]&lt;=7,"Short (&lt;=7 days)",tbl_Tasks_Clean[[#This Row],[Planned_Duration_Days]]&lt;=20,"Medium (8-20 days)",TRUE,"Long (&gt;20 days)")</f>
        <v>Medium (8-20 days)</v>
      </c>
      <c r="Y261" s="29" t="str">
        <f>INDEX(Projects!$D:$D,MATCH(tbl_Tasks_Clean[[#This Row],[Project_ID]],Projects!$A:$A,0))</f>
        <v>Nourhan Tarek</v>
      </c>
      <c r="Z261" s="29" t="str">
        <f>IF(tbl_Tasks_Clean[[#This Row],[Delay_Days]]&gt;0,"Delayed by "&amp;TEXT(tbl_Tasks_Clean[[#This Row],[Delay_Days]],"0")&amp;" days",IF(tbl_Tasks_Clean[[#This Row],[Delay_Days]]&lt;0,"Early by "&amp;TEXT(-tbl_Tasks_Clean[[#This Row],[Delay_Days]],"0")&amp;" days","On schedule"))</f>
        <v>On schedule</v>
      </c>
    </row>
    <row r="262" spans="1:26" x14ac:dyDescent="0.3">
      <c r="A262" t="s">
        <v>1261</v>
      </c>
      <c r="B262" t="s">
        <v>136</v>
      </c>
      <c r="C262" t="s">
        <v>137</v>
      </c>
      <c r="D262" t="s">
        <v>492</v>
      </c>
      <c r="E262" t="s">
        <v>187</v>
      </c>
      <c r="F262" t="s">
        <v>161</v>
      </c>
      <c r="G262" t="s">
        <v>350</v>
      </c>
      <c r="H262" t="s">
        <v>276</v>
      </c>
      <c r="I262">
        <v>4000</v>
      </c>
      <c r="J262">
        <v>0</v>
      </c>
      <c r="K262" s="22">
        <v>45373</v>
      </c>
      <c r="L262" s="22">
        <v>45402</v>
      </c>
      <c r="M262" s="22"/>
      <c r="N262">
        <v>29</v>
      </c>
      <c r="O262">
        <v>0</v>
      </c>
      <c r="P262" t="s">
        <v>138</v>
      </c>
      <c r="Q262" t="s">
        <v>94</v>
      </c>
      <c r="R262">
        <v>300000</v>
      </c>
      <c r="S262" t="s">
        <v>150</v>
      </c>
      <c r="T262">
        <v>220</v>
      </c>
      <c r="U262" s="29">
        <f>tbl_Tasks_Clean[[#This Row],[Actual_Cost]]-tbl_Tasks_Clean[[#This Row],[Planned_Cost]]</f>
        <v>-4000</v>
      </c>
      <c r="V262" s="30">
        <f>IFERROR(tbl_Tasks_Clean[[#This Row],[Cost_Variance]]/tbl_Tasks_Clean[[#This Row],[Planned_Cost]],0)</f>
        <v>-1</v>
      </c>
      <c r="W262" t="str">
        <f>IF(AND(tbl_Tasks_Clean[[#This Row],[Status]]="Completed",tbl_Tasks_Clean[[#This Row],[Delay_Days]]&lt;=0),"On Time",IF(AND(tbl_Tasks_Clean[[#This Row],[Status]]="Completed",tbl_Tasks_Clean[[#This Row],[Delay_Days]]&gt;0),"Late","N/A"))</f>
        <v>N/A</v>
      </c>
      <c r="X262" s="29" t="str" cm="1">
        <f t="array" ref="X262">_xlfn.IFS(tbl_Tasks_Clean[[#This Row],[Planned_Duration_Days]]&lt;=7,"Short (&lt;=7 days)",tbl_Tasks_Clean[[#This Row],[Planned_Duration_Days]]&lt;=20,"Medium (8-20 days)",TRUE,"Long (&gt;20 days)")</f>
        <v>Long (&gt;20 days)</v>
      </c>
      <c r="Y262" s="29" t="str">
        <f>INDEX(Projects!$D:$D,MATCH(tbl_Tasks_Clean[[#This Row],[Project_ID]],Projects!$A:$A,0))</f>
        <v>Ahmed Nabil</v>
      </c>
      <c r="Z262" s="29" t="str">
        <f>IF(tbl_Tasks_Clean[[#This Row],[Delay_Days]]&gt;0,"Delayed by "&amp;TEXT(tbl_Tasks_Clean[[#This Row],[Delay_Days]],"0")&amp;" days",IF(tbl_Tasks_Clean[[#This Row],[Delay_Days]]&lt;0,"Early by "&amp;TEXT(-tbl_Tasks_Clean[[#This Row],[Delay_Days]],"0")&amp;" days","On schedule"))</f>
        <v>On schedule</v>
      </c>
    </row>
    <row r="263" spans="1:26" x14ac:dyDescent="0.3">
      <c r="A263" t="s">
        <v>1264</v>
      </c>
      <c r="B263" t="s">
        <v>86</v>
      </c>
      <c r="C263" t="s">
        <v>87</v>
      </c>
      <c r="D263" t="s">
        <v>1159</v>
      </c>
      <c r="E263" t="s">
        <v>177</v>
      </c>
      <c r="F263" t="s">
        <v>216</v>
      </c>
      <c r="G263" t="s">
        <v>281</v>
      </c>
      <c r="H263" t="s">
        <v>487</v>
      </c>
      <c r="I263">
        <v>3000</v>
      </c>
      <c r="J263">
        <v>2584</v>
      </c>
      <c r="K263" s="22"/>
      <c r="L263" s="22"/>
      <c r="M263" s="22"/>
      <c r="O263">
        <v>0</v>
      </c>
      <c r="P263" t="s">
        <v>88</v>
      </c>
      <c r="Q263" t="s">
        <v>89</v>
      </c>
      <c r="R263">
        <v>150000</v>
      </c>
      <c r="S263" t="s">
        <v>206</v>
      </c>
      <c r="T263">
        <v>200</v>
      </c>
      <c r="U263" s="29">
        <f>tbl_Tasks_Clean[[#This Row],[Actual_Cost]]-tbl_Tasks_Clean[[#This Row],[Planned_Cost]]</f>
        <v>-416</v>
      </c>
      <c r="V263" s="30">
        <f>IFERROR(tbl_Tasks_Clean[[#This Row],[Cost_Variance]]/tbl_Tasks_Clean[[#This Row],[Planned_Cost]],0)</f>
        <v>-0.13866666666666666</v>
      </c>
      <c r="W263" t="str">
        <f>IF(AND(tbl_Tasks_Clean[[#This Row],[Status]]="Completed",tbl_Tasks_Clean[[#This Row],[Delay_Days]]&lt;=0),"On Time",IF(AND(tbl_Tasks_Clean[[#This Row],[Status]]="Completed",tbl_Tasks_Clean[[#This Row],[Delay_Days]]&gt;0),"Late","N/A"))</f>
        <v>N/A</v>
      </c>
      <c r="X263" s="29" t="str" cm="1">
        <f t="array" ref="X263">_xlfn.IFS(tbl_Tasks_Clean[[#This Row],[Planned_Duration_Days]]&lt;=7,"Short (&lt;=7 days)",tbl_Tasks_Clean[[#This Row],[Planned_Duration_Days]]&lt;=20,"Medium (8-20 days)",TRUE,"Long (&gt;20 days)")</f>
        <v>Short (&lt;=7 days)</v>
      </c>
      <c r="Y263" s="29" t="str">
        <f>INDEX(Projects!$D:$D,MATCH(tbl_Tasks_Clean[[#This Row],[Project_ID]],Projects!$A:$A,0))</f>
        <v>Youssef Adel</v>
      </c>
      <c r="Z263" s="29" t="str">
        <f>IF(tbl_Tasks_Clean[[#This Row],[Delay_Days]]&gt;0,"Delayed by "&amp;TEXT(tbl_Tasks_Clean[[#This Row],[Delay_Days]],"0")&amp;" days",IF(tbl_Tasks_Clean[[#This Row],[Delay_Days]]&lt;0,"Early by "&amp;TEXT(-tbl_Tasks_Clean[[#This Row],[Delay_Days]],"0")&amp;" days","On schedule"))</f>
        <v>On schedule</v>
      </c>
    </row>
    <row r="264" spans="1:26" x14ac:dyDescent="0.3">
      <c r="A264" t="s">
        <v>1268</v>
      </c>
      <c r="B264" t="s">
        <v>96</v>
      </c>
      <c r="C264" t="s">
        <v>97</v>
      </c>
      <c r="D264" t="s">
        <v>1269</v>
      </c>
      <c r="E264" t="s">
        <v>150</v>
      </c>
      <c r="F264" t="s">
        <v>222</v>
      </c>
      <c r="G264" t="s">
        <v>281</v>
      </c>
      <c r="H264" t="s">
        <v>314</v>
      </c>
      <c r="I264">
        <v>1000</v>
      </c>
      <c r="J264">
        <v>1015</v>
      </c>
      <c r="K264" s="22">
        <v>45606</v>
      </c>
      <c r="L264" s="22">
        <v>45634</v>
      </c>
      <c r="M264" s="22">
        <v>45636</v>
      </c>
      <c r="N264">
        <v>28</v>
      </c>
      <c r="O264">
        <v>2</v>
      </c>
      <c r="P264" t="s">
        <v>98</v>
      </c>
      <c r="Q264" t="s">
        <v>99</v>
      </c>
      <c r="R264">
        <v>75000</v>
      </c>
      <c r="S264" t="s">
        <v>219</v>
      </c>
      <c r="T264">
        <v>250</v>
      </c>
      <c r="U264" s="29">
        <f>tbl_Tasks_Clean[[#This Row],[Actual_Cost]]-tbl_Tasks_Clean[[#This Row],[Planned_Cost]]</f>
        <v>15</v>
      </c>
      <c r="V264" s="30">
        <f>IFERROR(tbl_Tasks_Clean[[#This Row],[Cost_Variance]]/tbl_Tasks_Clean[[#This Row],[Planned_Cost]],0)</f>
        <v>1.4999999999999999E-2</v>
      </c>
      <c r="W264" t="str">
        <f>IF(AND(tbl_Tasks_Clean[[#This Row],[Status]]="Completed",tbl_Tasks_Clean[[#This Row],[Delay_Days]]&lt;=0),"On Time",IF(AND(tbl_Tasks_Clean[[#This Row],[Status]]="Completed",tbl_Tasks_Clean[[#This Row],[Delay_Days]]&gt;0),"Late","N/A"))</f>
        <v>Late</v>
      </c>
      <c r="X264" s="29" t="str" cm="1">
        <f t="array" ref="X264">_xlfn.IFS(tbl_Tasks_Clean[[#This Row],[Planned_Duration_Days]]&lt;=7,"Short (&lt;=7 days)",tbl_Tasks_Clean[[#This Row],[Planned_Duration_Days]]&lt;=20,"Medium (8-20 days)",TRUE,"Long (&gt;20 days)")</f>
        <v>Long (&gt;20 days)</v>
      </c>
      <c r="Y264" s="29" t="str">
        <f>INDEX(Projects!$D:$D,MATCH(tbl_Tasks_Clean[[#This Row],[Project_ID]],Projects!$A:$A,0))</f>
        <v>Laila Samir</v>
      </c>
      <c r="Z264" s="29" t="str">
        <f>IF(tbl_Tasks_Clean[[#This Row],[Delay_Days]]&gt;0,"Delayed by "&amp;TEXT(tbl_Tasks_Clean[[#This Row],[Delay_Days]],"0")&amp;" days",IF(tbl_Tasks_Clean[[#This Row],[Delay_Days]]&lt;0,"Early by "&amp;TEXT(-tbl_Tasks_Clean[[#This Row],[Delay_Days]],"0")&amp;" days","On schedule"))</f>
        <v>Delayed by 2 days</v>
      </c>
    </row>
    <row r="265" spans="1:26" x14ac:dyDescent="0.3">
      <c r="A265" t="s">
        <v>1273</v>
      </c>
      <c r="B265" t="s">
        <v>109</v>
      </c>
      <c r="C265" t="s">
        <v>110</v>
      </c>
      <c r="D265" t="s">
        <v>514</v>
      </c>
      <c r="E265" t="s">
        <v>206</v>
      </c>
      <c r="F265" t="s">
        <v>155</v>
      </c>
      <c r="G265" t="s">
        <v>350</v>
      </c>
      <c r="H265" t="s">
        <v>269</v>
      </c>
      <c r="I265">
        <v>10000</v>
      </c>
      <c r="J265">
        <v>11220</v>
      </c>
      <c r="K265" s="22"/>
      <c r="L265" s="22"/>
      <c r="M265" s="22"/>
      <c r="O265">
        <v>0</v>
      </c>
      <c r="P265" t="s">
        <v>111</v>
      </c>
      <c r="Q265" t="s">
        <v>99</v>
      </c>
      <c r="R265">
        <v>120000</v>
      </c>
      <c r="S265" t="s">
        <v>150</v>
      </c>
      <c r="T265">
        <v>280</v>
      </c>
      <c r="U265" s="29">
        <f>tbl_Tasks_Clean[[#This Row],[Actual_Cost]]-tbl_Tasks_Clean[[#This Row],[Planned_Cost]]</f>
        <v>1220</v>
      </c>
      <c r="V265" s="30">
        <f>IFERROR(tbl_Tasks_Clean[[#This Row],[Cost_Variance]]/tbl_Tasks_Clean[[#This Row],[Planned_Cost]],0)</f>
        <v>0.122</v>
      </c>
      <c r="W265" t="str">
        <f>IF(AND(tbl_Tasks_Clean[[#This Row],[Status]]="Completed",tbl_Tasks_Clean[[#This Row],[Delay_Days]]&lt;=0),"On Time",IF(AND(tbl_Tasks_Clean[[#This Row],[Status]]="Completed",tbl_Tasks_Clean[[#This Row],[Delay_Days]]&gt;0),"Late","N/A"))</f>
        <v>N/A</v>
      </c>
      <c r="X265" s="29" t="str" cm="1">
        <f t="array" ref="X265">_xlfn.IFS(tbl_Tasks_Clean[[#This Row],[Planned_Duration_Days]]&lt;=7,"Short (&lt;=7 days)",tbl_Tasks_Clean[[#This Row],[Planned_Duration_Days]]&lt;=20,"Medium (8-20 days)",TRUE,"Long (&gt;20 days)")</f>
        <v>Short (&lt;=7 days)</v>
      </c>
      <c r="Y265" s="29" t="str">
        <f>INDEX(Projects!$D:$D,MATCH(tbl_Tasks_Clean[[#This Row],[Project_ID]],Projects!$A:$A,0))</f>
        <v>Laila Samir</v>
      </c>
      <c r="Z265" s="29" t="str">
        <f>IF(tbl_Tasks_Clean[[#This Row],[Delay_Days]]&gt;0,"Delayed by "&amp;TEXT(tbl_Tasks_Clean[[#This Row],[Delay_Days]],"0")&amp;" days",IF(tbl_Tasks_Clean[[#This Row],[Delay_Days]]&lt;0,"Early by "&amp;TEXT(-tbl_Tasks_Clean[[#This Row],[Delay_Days]],"0")&amp;" days","On schedule"))</f>
        <v>On schedule</v>
      </c>
    </row>
    <row r="266" spans="1:26" x14ac:dyDescent="0.3">
      <c r="A266" t="s">
        <v>1276</v>
      </c>
      <c r="B266" t="s">
        <v>129</v>
      </c>
      <c r="C266" t="s">
        <v>130</v>
      </c>
      <c r="D266" t="s">
        <v>608</v>
      </c>
      <c r="E266" t="s">
        <v>177</v>
      </c>
      <c r="F266" t="s">
        <v>186</v>
      </c>
      <c r="G266" t="s">
        <v>350</v>
      </c>
      <c r="H266" t="s">
        <v>314</v>
      </c>
      <c r="I266">
        <v>2500</v>
      </c>
      <c r="J266">
        <v>2376</v>
      </c>
      <c r="K266" s="22">
        <v>45382</v>
      </c>
      <c r="L266" s="22">
        <v>45411</v>
      </c>
      <c r="M266" s="22">
        <v>45412</v>
      </c>
      <c r="N266">
        <v>29</v>
      </c>
      <c r="O266">
        <v>1</v>
      </c>
      <c r="P266" t="s">
        <v>131</v>
      </c>
      <c r="Q266" t="s">
        <v>94</v>
      </c>
      <c r="R266">
        <v>250000</v>
      </c>
      <c r="S266" t="s">
        <v>187</v>
      </c>
      <c r="T266">
        <v>220</v>
      </c>
      <c r="U266" s="29">
        <f>tbl_Tasks_Clean[[#This Row],[Actual_Cost]]-tbl_Tasks_Clean[[#This Row],[Planned_Cost]]</f>
        <v>-124</v>
      </c>
      <c r="V266" s="30">
        <f>IFERROR(tbl_Tasks_Clean[[#This Row],[Cost_Variance]]/tbl_Tasks_Clean[[#This Row],[Planned_Cost]],0)</f>
        <v>-4.9599999999999998E-2</v>
      </c>
      <c r="W266" t="str">
        <f>IF(AND(tbl_Tasks_Clean[[#This Row],[Status]]="Completed",tbl_Tasks_Clean[[#This Row],[Delay_Days]]&lt;=0),"On Time",IF(AND(tbl_Tasks_Clean[[#This Row],[Status]]="Completed",tbl_Tasks_Clean[[#This Row],[Delay_Days]]&gt;0),"Late","N/A"))</f>
        <v>Late</v>
      </c>
      <c r="X266" s="29" t="str" cm="1">
        <f t="array" ref="X266">_xlfn.IFS(tbl_Tasks_Clean[[#This Row],[Planned_Duration_Days]]&lt;=7,"Short (&lt;=7 days)",tbl_Tasks_Clean[[#This Row],[Planned_Duration_Days]]&lt;=20,"Medium (8-20 days)",TRUE,"Long (&gt;20 days)")</f>
        <v>Long (&gt;20 days)</v>
      </c>
      <c r="Y266" s="29" t="str">
        <f>INDEX(Projects!$D:$D,MATCH(tbl_Tasks_Clean[[#This Row],[Project_ID]],Projects!$A:$A,0))</f>
        <v>Ahmed Nabil</v>
      </c>
      <c r="Z266" s="29" t="str">
        <f>IF(tbl_Tasks_Clean[[#This Row],[Delay_Days]]&gt;0,"Delayed by "&amp;TEXT(tbl_Tasks_Clean[[#This Row],[Delay_Days]],"0")&amp;" days",IF(tbl_Tasks_Clean[[#This Row],[Delay_Days]]&lt;0,"Early by "&amp;TEXT(-tbl_Tasks_Clean[[#This Row],[Delay_Days]],"0")&amp;" days","On schedule"))</f>
        <v>Delayed by 1 days</v>
      </c>
    </row>
    <row r="267" spans="1:26" x14ac:dyDescent="0.3">
      <c r="A267" t="s">
        <v>1279</v>
      </c>
      <c r="B267" t="s">
        <v>113</v>
      </c>
      <c r="C267" t="s">
        <v>114</v>
      </c>
      <c r="D267" t="s">
        <v>476</v>
      </c>
      <c r="E267" t="s">
        <v>164</v>
      </c>
      <c r="F267" t="s">
        <v>222</v>
      </c>
      <c r="G267" t="s">
        <v>350</v>
      </c>
      <c r="H267" t="s">
        <v>314</v>
      </c>
      <c r="I267">
        <v>0</v>
      </c>
      <c r="J267">
        <v>1656</v>
      </c>
      <c r="K267" s="22">
        <v>45400</v>
      </c>
      <c r="L267" s="22">
        <v>45411</v>
      </c>
      <c r="M267" s="22">
        <v>45413</v>
      </c>
      <c r="N267">
        <v>11</v>
      </c>
      <c r="O267">
        <v>2</v>
      </c>
      <c r="P267" t="s">
        <v>115</v>
      </c>
      <c r="Q267" t="s">
        <v>116</v>
      </c>
      <c r="R267">
        <v>300000</v>
      </c>
      <c r="S267" t="s">
        <v>219</v>
      </c>
      <c r="T267">
        <v>250</v>
      </c>
      <c r="U267" s="29">
        <f>tbl_Tasks_Clean[[#This Row],[Actual_Cost]]-tbl_Tasks_Clean[[#This Row],[Planned_Cost]]</f>
        <v>1656</v>
      </c>
      <c r="V267" s="30">
        <f>IFERROR(tbl_Tasks_Clean[[#This Row],[Cost_Variance]]/tbl_Tasks_Clean[[#This Row],[Planned_Cost]],0)</f>
        <v>0</v>
      </c>
      <c r="W267" t="str">
        <f>IF(AND(tbl_Tasks_Clean[[#This Row],[Status]]="Completed",tbl_Tasks_Clean[[#This Row],[Delay_Days]]&lt;=0),"On Time",IF(AND(tbl_Tasks_Clean[[#This Row],[Status]]="Completed",tbl_Tasks_Clean[[#This Row],[Delay_Days]]&gt;0),"Late","N/A"))</f>
        <v>Late</v>
      </c>
      <c r="X267" s="29" t="str" cm="1">
        <f t="array" ref="X267">_xlfn.IFS(tbl_Tasks_Clean[[#This Row],[Planned_Duration_Days]]&lt;=7,"Short (&lt;=7 days)",tbl_Tasks_Clean[[#This Row],[Planned_Duration_Days]]&lt;=20,"Medium (8-20 days)",TRUE,"Long (&gt;20 days)")</f>
        <v>Medium (8-20 days)</v>
      </c>
      <c r="Y267" s="29" t="str">
        <f>INDEX(Projects!$D:$D,MATCH(tbl_Tasks_Clean[[#This Row],[Project_ID]],Projects!$A:$A,0))</f>
        <v>Nourhan Tarek</v>
      </c>
      <c r="Z267" s="29" t="str">
        <f>IF(tbl_Tasks_Clean[[#This Row],[Delay_Days]]&gt;0,"Delayed by "&amp;TEXT(tbl_Tasks_Clean[[#This Row],[Delay_Days]],"0")&amp;" days",IF(tbl_Tasks_Clean[[#This Row],[Delay_Days]]&lt;0,"Early by "&amp;TEXT(-tbl_Tasks_Clean[[#This Row],[Delay_Days]],"0")&amp;" days","On schedule"))</f>
        <v>Delayed by 2 days</v>
      </c>
    </row>
    <row r="268" spans="1:26" x14ac:dyDescent="0.3">
      <c r="A268" t="s">
        <v>1282</v>
      </c>
      <c r="B268" t="s">
        <v>118</v>
      </c>
      <c r="C268" t="s">
        <v>119</v>
      </c>
      <c r="D268" t="s">
        <v>280</v>
      </c>
      <c r="E268" t="s">
        <v>1435</v>
      </c>
      <c r="F268" t="s">
        <v>153</v>
      </c>
      <c r="G268" t="s">
        <v>281</v>
      </c>
      <c r="H268" t="s">
        <v>276</v>
      </c>
      <c r="I268">
        <v>2000</v>
      </c>
      <c r="J268">
        <v>0</v>
      </c>
      <c r="K268" s="22">
        <v>45388</v>
      </c>
      <c r="L268" s="22">
        <v>45412</v>
      </c>
      <c r="M268" s="22"/>
      <c r="N268">
        <v>24</v>
      </c>
      <c r="O268">
        <v>0</v>
      </c>
      <c r="P268" t="s">
        <v>120</v>
      </c>
      <c r="Q268" t="s">
        <v>99</v>
      </c>
      <c r="R268">
        <v>100000</v>
      </c>
      <c r="S268" t="s">
        <v>150</v>
      </c>
      <c r="T268">
        <v>220</v>
      </c>
      <c r="U268" s="29">
        <f>tbl_Tasks_Clean[[#This Row],[Actual_Cost]]-tbl_Tasks_Clean[[#This Row],[Planned_Cost]]</f>
        <v>-2000</v>
      </c>
      <c r="V268" s="30">
        <f>IFERROR(tbl_Tasks_Clean[[#This Row],[Cost_Variance]]/tbl_Tasks_Clean[[#This Row],[Planned_Cost]],0)</f>
        <v>-1</v>
      </c>
      <c r="W268" t="str">
        <f>IF(AND(tbl_Tasks_Clean[[#This Row],[Status]]="Completed",tbl_Tasks_Clean[[#This Row],[Delay_Days]]&lt;=0),"On Time",IF(AND(tbl_Tasks_Clean[[#This Row],[Status]]="Completed",tbl_Tasks_Clean[[#This Row],[Delay_Days]]&gt;0),"Late","N/A"))</f>
        <v>N/A</v>
      </c>
      <c r="X268" s="29" t="str" cm="1">
        <f t="array" ref="X268">_xlfn.IFS(tbl_Tasks_Clean[[#This Row],[Planned_Duration_Days]]&lt;=7,"Short (&lt;=7 days)",tbl_Tasks_Clean[[#This Row],[Planned_Duration_Days]]&lt;=20,"Medium (8-20 days)",TRUE,"Long (&gt;20 days)")</f>
        <v>Long (&gt;20 days)</v>
      </c>
      <c r="Y268" s="29" t="str">
        <f>INDEX(Projects!$D:$D,MATCH(tbl_Tasks_Clean[[#This Row],[Project_ID]],Projects!$A:$A,0))</f>
        <v>Laila Samir</v>
      </c>
      <c r="Z268" s="29" t="str">
        <f>IF(tbl_Tasks_Clean[[#This Row],[Delay_Days]]&gt;0,"Delayed by "&amp;TEXT(tbl_Tasks_Clean[[#This Row],[Delay_Days]],"0")&amp;" days",IF(tbl_Tasks_Clean[[#This Row],[Delay_Days]]&lt;0,"Early by "&amp;TEXT(-tbl_Tasks_Clean[[#This Row],[Delay_Days]],"0")&amp;" days","On schedule"))</f>
        <v>On schedule</v>
      </c>
    </row>
    <row r="269" spans="1:26" x14ac:dyDescent="0.3">
      <c r="A269" t="s">
        <v>1285</v>
      </c>
      <c r="B269" t="s">
        <v>101</v>
      </c>
      <c r="C269" t="s">
        <v>102</v>
      </c>
      <c r="D269" t="s">
        <v>553</v>
      </c>
      <c r="E269" t="s">
        <v>187</v>
      </c>
      <c r="F269" t="s">
        <v>216</v>
      </c>
      <c r="G269" t="s">
        <v>281</v>
      </c>
      <c r="H269" t="s">
        <v>287</v>
      </c>
      <c r="I269">
        <v>1500</v>
      </c>
      <c r="J269">
        <v>994</v>
      </c>
      <c r="K269" s="22">
        <v>45388</v>
      </c>
      <c r="L269" s="22">
        <v>45398</v>
      </c>
      <c r="M269" s="22"/>
      <c r="N269">
        <v>10</v>
      </c>
      <c r="O269">
        <v>0</v>
      </c>
      <c r="P269" t="s">
        <v>103</v>
      </c>
      <c r="Q269" t="s">
        <v>94</v>
      </c>
      <c r="R269">
        <v>50000</v>
      </c>
      <c r="S269" t="s">
        <v>206</v>
      </c>
      <c r="T269">
        <v>200</v>
      </c>
      <c r="U269" s="29">
        <f>tbl_Tasks_Clean[[#This Row],[Actual_Cost]]-tbl_Tasks_Clean[[#This Row],[Planned_Cost]]</f>
        <v>-506</v>
      </c>
      <c r="V269" s="30">
        <f>IFERROR(tbl_Tasks_Clean[[#This Row],[Cost_Variance]]/tbl_Tasks_Clean[[#This Row],[Planned_Cost]],0)</f>
        <v>-0.33733333333333332</v>
      </c>
      <c r="W269" t="str">
        <f>IF(AND(tbl_Tasks_Clean[[#This Row],[Status]]="Completed",tbl_Tasks_Clean[[#This Row],[Delay_Days]]&lt;=0),"On Time",IF(AND(tbl_Tasks_Clean[[#This Row],[Status]]="Completed",tbl_Tasks_Clean[[#This Row],[Delay_Days]]&gt;0),"Late","N/A"))</f>
        <v>N/A</v>
      </c>
      <c r="X269" s="29" t="str" cm="1">
        <f t="array" ref="X269">_xlfn.IFS(tbl_Tasks_Clean[[#This Row],[Planned_Duration_Days]]&lt;=7,"Short (&lt;=7 days)",tbl_Tasks_Clean[[#This Row],[Planned_Duration_Days]]&lt;=20,"Medium (8-20 days)",TRUE,"Long (&gt;20 days)")</f>
        <v>Medium (8-20 days)</v>
      </c>
      <c r="Y269" s="29" t="str">
        <f>INDEX(Projects!$D:$D,MATCH(tbl_Tasks_Clean[[#This Row],[Project_ID]],Projects!$A:$A,0))</f>
        <v>Ahmed Nabil</v>
      </c>
      <c r="Z269" s="29" t="str">
        <f>IF(tbl_Tasks_Clean[[#This Row],[Delay_Days]]&gt;0,"Delayed by "&amp;TEXT(tbl_Tasks_Clean[[#This Row],[Delay_Days]],"0")&amp;" days",IF(tbl_Tasks_Clean[[#This Row],[Delay_Days]]&lt;0,"Early by "&amp;TEXT(-tbl_Tasks_Clean[[#This Row],[Delay_Days]],"0")&amp;" days","On schedule"))</f>
        <v>On schedule</v>
      </c>
    </row>
    <row r="270" spans="1:26" x14ac:dyDescent="0.3">
      <c r="A270" t="s">
        <v>1288</v>
      </c>
      <c r="B270" t="s">
        <v>101</v>
      </c>
      <c r="C270" t="s">
        <v>102</v>
      </c>
      <c r="D270" t="s">
        <v>1289</v>
      </c>
      <c r="E270" t="s">
        <v>150</v>
      </c>
      <c r="F270" t="s">
        <v>218</v>
      </c>
      <c r="G270" t="s">
        <v>281</v>
      </c>
      <c r="H270" t="s">
        <v>487</v>
      </c>
      <c r="I270">
        <v>2500</v>
      </c>
      <c r="J270">
        <v>2251</v>
      </c>
      <c r="K270" s="22">
        <v>45421</v>
      </c>
      <c r="L270" s="22">
        <v>45432</v>
      </c>
      <c r="M270" s="22">
        <v>45430</v>
      </c>
      <c r="N270">
        <v>11</v>
      </c>
      <c r="O270">
        <v>-2</v>
      </c>
      <c r="P270" t="s">
        <v>103</v>
      </c>
      <c r="Q270" t="s">
        <v>94</v>
      </c>
      <c r="R270">
        <v>50000</v>
      </c>
      <c r="S270" t="s">
        <v>219</v>
      </c>
      <c r="T270">
        <v>250</v>
      </c>
      <c r="U270" s="29">
        <f>tbl_Tasks_Clean[[#This Row],[Actual_Cost]]-tbl_Tasks_Clean[[#This Row],[Planned_Cost]]</f>
        <v>-249</v>
      </c>
      <c r="V270" s="30">
        <f>IFERROR(tbl_Tasks_Clean[[#This Row],[Cost_Variance]]/tbl_Tasks_Clean[[#This Row],[Planned_Cost]],0)</f>
        <v>-9.9599999999999994E-2</v>
      </c>
      <c r="W270" t="str">
        <f>IF(AND(tbl_Tasks_Clean[[#This Row],[Status]]="Completed",tbl_Tasks_Clean[[#This Row],[Delay_Days]]&lt;=0),"On Time",IF(AND(tbl_Tasks_Clean[[#This Row],[Status]]="Completed",tbl_Tasks_Clean[[#This Row],[Delay_Days]]&gt;0),"Late","N/A"))</f>
        <v>N/A</v>
      </c>
      <c r="X270" s="29" t="str" cm="1">
        <f t="array" ref="X270">_xlfn.IFS(tbl_Tasks_Clean[[#This Row],[Planned_Duration_Days]]&lt;=7,"Short (&lt;=7 days)",tbl_Tasks_Clean[[#This Row],[Planned_Duration_Days]]&lt;=20,"Medium (8-20 days)",TRUE,"Long (&gt;20 days)")</f>
        <v>Medium (8-20 days)</v>
      </c>
      <c r="Y270" s="29" t="str">
        <f>INDEX(Projects!$D:$D,MATCH(tbl_Tasks_Clean[[#This Row],[Project_ID]],Projects!$A:$A,0))</f>
        <v>Ahmed Nabil</v>
      </c>
      <c r="Z270" s="29" t="str">
        <f>IF(tbl_Tasks_Clean[[#This Row],[Delay_Days]]&gt;0,"Delayed by "&amp;TEXT(tbl_Tasks_Clean[[#This Row],[Delay_Days]],"0")&amp;" days",IF(tbl_Tasks_Clean[[#This Row],[Delay_Days]]&lt;0,"Early by "&amp;TEXT(-tbl_Tasks_Clean[[#This Row],[Delay_Days]],"0")&amp;" days","On schedule"))</f>
        <v>Early by 2 days</v>
      </c>
    </row>
    <row r="271" spans="1:26" x14ac:dyDescent="0.3">
      <c r="A271" t="s">
        <v>1291</v>
      </c>
      <c r="B271" t="s">
        <v>133</v>
      </c>
      <c r="C271" t="s">
        <v>134</v>
      </c>
      <c r="D271" t="s">
        <v>1269</v>
      </c>
      <c r="E271" t="s">
        <v>1435</v>
      </c>
      <c r="F271" t="s">
        <v>167</v>
      </c>
      <c r="G271" t="s">
        <v>350</v>
      </c>
      <c r="H271" t="s">
        <v>430</v>
      </c>
      <c r="I271">
        <v>5000</v>
      </c>
      <c r="J271">
        <v>0</v>
      </c>
      <c r="K271" s="22">
        <v>45413</v>
      </c>
      <c r="L271" s="22">
        <v>45443</v>
      </c>
      <c r="M271" s="22"/>
      <c r="N271">
        <v>30</v>
      </c>
      <c r="O271">
        <v>0</v>
      </c>
      <c r="P271" t="s">
        <v>111</v>
      </c>
      <c r="Q271" t="s">
        <v>116</v>
      </c>
      <c r="R271">
        <v>200000</v>
      </c>
      <c r="S271" t="s">
        <v>164</v>
      </c>
      <c r="T271">
        <v>180</v>
      </c>
      <c r="U271" s="29">
        <f>tbl_Tasks_Clean[[#This Row],[Actual_Cost]]-tbl_Tasks_Clean[[#This Row],[Planned_Cost]]</f>
        <v>-5000</v>
      </c>
      <c r="V271" s="30">
        <f>IFERROR(tbl_Tasks_Clean[[#This Row],[Cost_Variance]]/tbl_Tasks_Clean[[#This Row],[Planned_Cost]],0)</f>
        <v>-1</v>
      </c>
      <c r="W271" t="str">
        <f>IF(AND(tbl_Tasks_Clean[[#This Row],[Status]]="Completed",tbl_Tasks_Clean[[#This Row],[Delay_Days]]&lt;=0),"On Time",IF(AND(tbl_Tasks_Clean[[#This Row],[Status]]="Completed",tbl_Tasks_Clean[[#This Row],[Delay_Days]]&gt;0),"Late","N/A"))</f>
        <v>N/A</v>
      </c>
      <c r="X271" s="29" t="str" cm="1">
        <f t="array" ref="X271">_xlfn.IFS(tbl_Tasks_Clean[[#This Row],[Planned_Duration_Days]]&lt;=7,"Short (&lt;=7 days)",tbl_Tasks_Clean[[#This Row],[Planned_Duration_Days]]&lt;=20,"Medium (8-20 days)",TRUE,"Long (&gt;20 days)")</f>
        <v>Long (&gt;20 days)</v>
      </c>
      <c r="Y271" s="29" t="str">
        <f>INDEX(Projects!$D:$D,MATCH(tbl_Tasks_Clean[[#This Row],[Project_ID]],Projects!$A:$A,0))</f>
        <v>Nourhan Tarek</v>
      </c>
      <c r="Z271" s="29" t="str">
        <f>IF(tbl_Tasks_Clean[[#This Row],[Delay_Days]]&gt;0,"Delayed by "&amp;TEXT(tbl_Tasks_Clean[[#This Row],[Delay_Days]],"0")&amp;" days",IF(tbl_Tasks_Clean[[#This Row],[Delay_Days]]&lt;0,"Early by "&amp;TEXT(-tbl_Tasks_Clean[[#This Row],[Delay_Days]],"0")&amp;" days","On schedule"))</f>
        <v>On schedule</v>
      </c>
    </row>
    <row r="272" spans="1:26" x14ac:dyDescent="0.3">
      <c r="A272" t="s">
        <v>1293</v>
      </c>
      <c r="B272" t="s">
        <v>136</v>
      </c>
      <c r="C272" t="s">
        <v>137</v>
      </c>
      <c r="D272" t="s">
        <v>1016</v>
      </c>
      <c r="E272" t="s">
        <v>187</v>
      </c>
      <c r="F272" t="s">
        <v>155</v>
      </c>
      <c r="G272" t="s">
        <v>281</v>
      </c>
      <c r="H272" t="s">
        <v>314</v>
      </c>
      <c r="I272">
        <v>6000</v>
      </c>
      <c r="J272">
        <v>4896</v>
      </c>
      <c r="K272" s="22">
        <v>45304</v>
      </c>
      <c r="L272" s="22">
        <v>45323</v>
      </c>
      <c r="M272" s="22">
        <v>45321</v>
      </c>
      <c r="N272">
        <v>19</v>
      </c>
      <c r="O272">
        <v>-2</v>
      </c>
      <c r="P272" t="s">
        <v>138</v>
      </c>
      <c r="Q272" t="s">
        <v>94</v>
      </c>
      <c r="R272">
        <v>300000</v>
      </c>
      <c r="S272" t="s">
        <v>150</v>
      </c>
      <c r="T272">
        <v>280</v>
      </c>
      <c r="U272" s="29">
        <f>tbl_Tasks_Clean[[#This Row],[Actual_Cost]]-tbl_Tasks_Clean[[#This Row],[Planned_Cost]]</f>
        <v>-1104</v>
      </c>
      <c r="V272" s="30">
        <f>IFERROR(tbl_Tasks_Clean[[#This Row],[Cost_Variance]]/tbl_Tasks_Clean[[#This Row],[Planned_Cost]],0)</f>
        <v>-0.184</v>
      </c>
      <c r="W272" t="str">
        <f>IF(AND(tbl_Tasks_Clean[[#This Row],[Status]]="Completed",tbl_Tasks_Clean[[#This Row],[Delay_Days]]&lt;=0),"On Time",IF(AND(tbl_Tasks_Clean[[#This Row],[Status]]="Completed",tbl_Tasks_Clean[[#This Row],[Delay_Days]]&gt;0),"Late","N/A"))</f>
        <v>On Time</v>
      </c>
      <c r="X272" s="29" t="str" cm="1">
        <f t="array" ref="X272">_xlfn.IFS(tbl_Tasks_Clean[[#This Row],[Planned_Duration_Days]]&lt;=7,"Short (&lt;=7 days)",tbl_Tasks_Clean[[#This Row],[Planned_Duration_Days]]&lt;=20,"Medium (8-20 days)",TRUE,"Long (&gt;20 days)")</f>
        <v>Medium (8-20 days)</v>
      </c>
      <c r="Y272" s="29" t="str">
        <f>INDEX(Projects!$D:$D,MATCH(tbl_Tasks_Clean[[#This Row],[Project_ID]],Projects!$A:$A,0))</f>
        <v>Ahmed Nabil</v>
      </c>
      <c r="Z272" s="29" t="str">
        <f>IF(tbl_Tasks_Clean[[#This Row],[Delay_Days]]&gt;0,"Delayed by "&amp;TEXT(tbl_Tasks_Clean[[#This Row],[Delay_Days]],"0")&amp;" days",IF(tbl_Tasks_Clean[[#This Row],[Delay_Days]]&lt;0,"Early by "&amp;TEXT(-tbl_Tasks_Clean[[#This Row],[Delay_Days]],"0")&amp;" days","On schedule"))</f>
        <v>Early by 2 days</v>
      </c>
    </row>
    <row r="273" spans="1:26" x14ac:dyDescent="0.3">
      <c r="A273" t="s">
        <v>1297</v>
      </c>
      <c r="B273" t="s">
        <v>113</v>
      </c>
      <c r="C273" t="s">
        <v>114</v>
      </c>
      <c r="D273" t="s">
        <v>736</v>
      </c>
      <c r="E273" t="s">
        <v>164</v>
      </c>
      <c r="F273" t="s">
        <v>203</v>
      </c>
      <c r="G273" t="s">
        <v>350</v>
      </c>
      <c r="H273" t="s">
        <v>276</v>
      </c>
      <c r="I273">
        <v>2500</v>
      </c>
      <c r="J273">
        <v>0</v>
      </c>
      <c r="K273" s="22">
        <v>45389</v>
      </c>
      <c r="L273" s="22">
        <v>45410</v>
      </c>
      <c r="M273" s="22"/>
      <c r="N273">
        <v>21</v>
      </c>
      <c r="O273">
        <v>0</v>
      </c>
      <c r="P273" t="s">
        <v>115</v>
      </c>
      <c r="Q273" t="s">
        <v>116</v>
      </c>
      <c r="R273">
        <v>300000</v>
      </c>
      <c r="S273" t="s">
        <v>197</v>
      </c>
      <c r="T273">
        <v>300</v>
      </c>
      <c r="U273" s="29">
        <f>tbl_Tasks_Clean[[#This Row],[Actual_Cost]]-tbl_Tasks_Clean[[#This Row],[Planned_Cost]]</f>
        <v>-2500</v>
      </c>
      <c r="V273" s="30">
        <f>IFERROR(tbl_Tasks_Clean[[#This Row],[Cost_Variance]]/tbl_Tasks_Clean[[#This Row],[Planned_Cost]],0)</f>
        <v>-1</v>
      </c>
      <c r="W273" t="str">
        <f>IF(AND(tbl_Tasks_Clean[[#This Row],[Status]]="Completed",tbl_Tasks_Clean[[#This Row],[Delay_Days]]&lt;=0),"On Time",IF(AND(tbl_Tasks_Clean[[#This Row],[Status]]="Completed",tbl_Tasks_Clean[[#This Row],[Delay_Days]]&gt;0),"Late","N/A"))</f>
        <v>N/A</v>
      </c>
      <c r="X273" s="29" t="str" cm="1">
        <f t="array" ref="X273">_xlfn.IFS(tbl_Tasks_Clean[[#This Row],[Planned_Duration_Days]]&lt;=7,"Short (&lt;=7 days)",tbl_Tasks_Clean[[#This Row],[Planned_Duration_Days]]&lt;=20,"Medium (8-20 days)",TRUE,"Long (&gt;20 days)")</f>
        <v>Long (&gt;20 days)</v>
      </c>
      <c r="Y273" s="29" t="str">
        <f>INDEX(Projects!$D:$D,MATCH(tbl_Tasks_Clean[[#This Row],[Project_ID]],Projects!$A:$A,0))</f>
        <v>Nourhan Tarek</v>
      </c>
      <c r="Z273" s="29" t="str">
        <f>IF(tbl_Tasks_Clean[[#This Row],[Delay_Days]]&gt;0,"Delayed by "&amp;TEXT(tbl_Tasks_Clean[[#This Row],[Delay_Days]],"0")&amp;" days",IF(tbl_Tasks_Clean[[#This Row],[Delay_Days]]&lt;0,"Early by "&amp;TEXT(-tbl_Tasks_Clean[[#This Row],[Delay_Days]],"0")&amp;" days","On schedule"))</f>
        <v>On schedule</v>
      </c>
    </row>
    <row r="274" spans="1:26" x14ac:dyDescent="0.3">
      <c r="A274" t="s">
        <v>1300</v>
      </c>
      <c r="B274" t="s">
        <v>140</v>
      </c>
      <c r="C274" t="s">
        <v>141</v>
      </c>
      <c r="D274" t="s">
        <v>389</v>
      </c>
      <c r="E274" t="s">
        <v>206</v>
      </c>
      <c r="F274" t="s">
        <v>172</v>
      </c>
      <c r="G274" t="s">
        <v>281</v>
      </c>
      <c r="H274" t="s">
        <v>287</v>
      </c>
      <c r="I274">
        <v>1000</v>
      </c>
      <c r="J274">
        <v>620</v>
      </c>
      <c r="K274" s="22"/>
      <c r="L274" s="22"/>
      <c r="M274" s="22"/>
      <c r="O274">
        <v>0</v>
      </c>
      <c r="P274" t="s">
        <v>111</v>
      </c>
      <c r="Q274" t="s">
        <v>116</v>
      </c>
      <c r="R274">
        <v>75000</v>
      </c>
      <c r="S274" t="s">
        <v>164</v>
      </c>
      <c r="T274">
        <v>200</v>
      </c>
      <c r="U274" s="29">
        <f>tbl_Tasks_Clean[[#This Row],[Actual_Cost]]-tbl_Tasks_Clean[[#This Row],[Planned_Cost]]</f>
        <v>-380</v>
      </c>
      <c r="V274" s="30">
        <f>IFERROR(tbl_Tasks_Clean[[#This Row],[Cost_Variance]]/tbl_Tasks_Clean[[#This Row],[Planned_Cost]],0)</f>
        <v>-0.38</v>
      </c>
      <c r="W274" t="str">
        <f>IF(AND(tbl_Tasks_Clean[[#This Row],[Status]]="Completed",tbl_Tasks_Clean[[#This Row],[Delay_Days]]&lt;=0),"On Time",IF(AND(tbl_Tasks_Clean[[#This Row],[Status]]="Completed",tbl_Tasks_Clean[[#This Row],[Delay_Days]]&gt;0),"Late","N/A"))</f>
        <v>N/A</v>
      </c>
      <c r="X274" s="29" t="str" cm="1">
        <f t="array" ref="X274">_xlfn.IFS(tbl_Tasks_Clean[[#This Row],[Planned_Duration_Days]]&lt;=7,"Short (&lt;=7 days)",tbl_Tasks_Clean[[#This Row],[Planned_Duration_Days]]&lt;=20,"Medium (8-20 days)",TRUE,"Long (&gt;20 days)")</f>
        <v>Short (&lt;=7 days)</v>
      </c>
      <c r="Y274" s="29" t="str">
        <f>INDEX(Projects!$D:$D,MATCH(tbl_Tasks_Clean[[#This Row],[Project_ID]],Projects!$A:$A,0))</f>
        <v>Nourhan Tarek</v>
      </c>
      <c r="Z274" s="29" t="str">
        <f>IF(tbl_Tasks_Clean[[#This Row],[Delay_Days]]&gt;0,"Delayed by "&amp;TEXT(tbl_Tasks_Clean[[#This Row],[Delay_Days]],"0")&amp;" days",IF(tbl_Tasks_Clean[[#This Row],[Delay_Days]]&lt;0,"Early by "&amp;TEXT(-tbl_Tasks_Clean[[#This Row],[Delay_Days]],"0")&amp;" days","On schedule"))</f>
        <v>On schedule</v>
      </c>
    </row>
    <row r="275" spans="1:26" x14ac:dyDescent="0.3">
      <c r="A275" t="s">
        <v>1303</v>
      </c>
      <c r="B275" t="s">
        <v>129</v>
      </c>
      <c r="C275" t="s">
        <v>130</v>
      </c>
      <c r="D275" t="s">
        <v>782</v>
      </c>
      <c r="E275" t="s">
        <v>150</v>
      </c>
      <c r="F275" t="s">
        <v>180</v>
      </c>
      <c r="G275" t="s">
        <v>250</v>
      </c>
      <c r="H275" t="s">
        <v>356</v>
      </c>
      <c r="I275">
        <v>6000</v>
      </c>
      <c r="J275">
        <v>8191</v>
      </c>
      <c r="K275" s="22">
        <v>45445</v>
      </c>
      <c r="L275" s="22">
        <v>45465</v>
      </c>
      <c r="M275" s="22">
        <v>45463</v>
      </c>
      <c r="N275">
        <v>20</v>
      </c>
      <c r="O275">
        <v>-2</v>
      </c>
      <c r="P275" t="s">
        <v>131</v>
      </c>
      <c r="Q275" t="s">
        <v>94</v>
      </c>
      <c r="R275">
        <v>250000</v>
      </c>
      <c r="S275" t="s">
        <v>177</v>
      </c>
      <c r="T275">
        <v>280</v>
      </c>
      <c r="U275" s="29">
        <f>tbl_Tasks_Clean[[#This Row],[Actual_Cost]]-tbl_Tasks_Clean[[#This Row],[Planned_Cost]]</f>
        <v>2191</v>
      </c>
      <c r="V275" s="30">
        <f>IFERROR(tbl_Tasks_Clean[[#This Row],[Cost_Variance]]/tbl_Tasks_Clean[[#This Row],[Planned_Cost]],0)</f>
        <v>0.36516666666666664</v>
      </c>
      <c r="W275" t="str">
        <f>IF(AND(tbl_Tasks_Clean[[#This Row],[Status]]="Completed",tbl_Tasks_Clean[[#This Row],[Delay_Days]]&lt;=0),"On Time",IF(AND(tbl_Tasks_Clean[[#This Row],[Status]]="Completed",tbl_Tasks_Clean[[#This Row],[Delay_Days]]&gt;0),"Late","N/A"))</f>
        <v>N/A</v>
      </c>
      <c r="X275" s="29" t="str" cm="1">
        <f t="array" ref="X275">_xlfn.IFS(tbl_Tasks_Clean[[#This Row],[Planned_Duration_Days]]&lt;=7,"Short (&lt;=7 days)",tbl_Tasks_Clean[[#This Row],[Planned_Duration_Days]]&lt;=20,"Medium (8-20 days)",TRUE,"Long (&gt;20 days)")</f>
        <v>Medium (8-20 days)</v>
      </c>
      <c r="Y275" s="29" t="str">
        <f>INDEX(Projects!$D:$D,MATCH(tbl_Tasks_Clean[[#This Row],[Project_ID]],Projects!$A:$A,0))</f>
        <v>Ahmed Nabil</v>
      </c>
      <c r="Z275" s="29" t="str">
        <f>IF(tbl_Tasks_Clean[[#This Row],[Delay_Days]]&gt;0,"Delayed by "&amp;TEXT(tbl_Tasks_Clean[[#This Row],[Delay_Days]],"0")&amp;" days",IF(tbl_Tasks_Clean[[#This Row],[Delay_Days]]&lt;0,"Early by "&amp;TEXT(-tbl_Tasks_Clean[[#This Row],[Delay_Days]],"0")&amp;" days","On schedule"))</f>
        <v>Early by 2 days</v>
      </c>
    </row>
    <row r="276" spans="1:26" x14ac:dyDescent="0.3">
      <c r="A276" t="s">
        <v>1305</v>
      </c>
      <c r="B276" t="s">
        <v>86</v>
      </c>
      <c r="C276" t="s">
        <v>87</v>
      </c>
      <c r="D276" t="s">
        <v>1306</v>
      </c>
      <c r="E276" t="s">
        <v>177</v>
      </c>
      <c r="F276" t="s">
        <v>169</v>
      </c>
      <c r="G276" t="s">
        <v>250</v>
      </c>
      <c r="H276" t="s">
        <v>314</v>
      </c>
      <c r="I276">
        <v>2000</v>
      </c>
      <c r="J276">
        <v>1434</v>
      </c>
      <c r="K276" s="22">
        <v>45538</v>
      </c>
      <c r="L276" s="22">
        <v>45566</v>
      </c>
      <c r="M276" s="22">
        <v>45564</v>
      </c>
      <c r="N276">
        <v>28</v>
      </c>
      <c r="O276">
        <v>-2</v>
      </c>
      <c r="P276" t="s">
        <v>88</v>
      </c>
      <c r="Q276" t="s">
        <v>89</v>
      </c>
      <c r="R276">
        <v>150000</v>
      </c>
      <c r="S276" t="s">
        <v>164</v>
      </c>
      <c r="T276">
        <v>200</v>
      </c>
      <c r="U276" s="29">
        <f>tbl_Tasks_Clean[[#This Row],[Actual_Cost]]-tbl_Tasks_Clean[[#This Row],[Planned_Cost]]</f>
        <v>-566</v>
      </c>
      <c r="V276" s="30">
        <f>IFERROR(tbl_Tasks_Clean[[#This Row],[Cost_Variance]]/tbl_Tasks_Clean[[#This Row],[Planned_Cost]],0)</f>
        <v>-0.28299999999999997</v>
      </c>
      <c r="W276" t="str">
        <f>IF(AND(tbl_Tasks_Clean[[#This Row],[Status]]="Completed",tbl_Tasks_Clean[[#This Row],[Delay_Days]]&lt;=0),"On Time",IF(AND(tbl_Tasks_Clean[[#This Row],[Status]]="Completed",tbl_Tasks_Clean[[#This Row],[Delay_Days]]&gt;0),"Late","N/A"))</f>
        <v>On Time</v>
      </c>
      <c r="X276" s="29" t="str" cm="1">
        <f t="array" ref="X276">_xlfn.IFS(tbl_Tasks_Clean[[#This Row],[Planned_Duration_Days]]&lt;=7,"Short (&lt;=7 days)",tbl_Tasks_Clean[[#This Row],[Planned_Duration_Days]]&lt;=20,"Medium (8-20 days)",TRUE,"Long (&gt;20 days)")</f>
        <v>Long (&gt;20 days)</v>
      </c>
      <c r="Y276" s="29" t="str">
        <f>INDEX(Projects!$D:$D,MATCH(tbl_Tasks_Clean[[#This Row],[Project_ID]],Projects!$A:$A,0))</f>
        <v>Youssef Adel</v>
      </c>
      <c r="Z276" s="29" t="str">
        <f>IF(tbl_Tasks_Clean[[#This Row],[Delay_Days]]&gt;0,"Delayed by "&amp;TEXT(tbl_Tasks_Clean[[#This Row],[Delay_Days]],"0")&amp;" days",IF(tbl_Tasks_Clean[[#This Row],[Delay_Days]]&lt;0,"Early by "&amp;TEXT(-tbl_Tasks_Clean[[#This Row],[Delay_Days]],"0")&amp;" days","On schedule"))</f>
        <v>Early by 2 days</v>
      </c>
    </row>
    <row r="277" spans="1:26" x14ac:dyDescent="0.3">
      <c r="A277" t="s">
        <v>1308</v>
      </c>
      <c r="B277" t="s">
        <v>109</v>
      </c>
      <c r="C277" t="s">
        <v>110</v>
      </c>
      <c r="D277" t="s">
        <v>805</v>
      </c>
      <c r="E277" t="s">
        <v>150</v>
      </c>
      <c r="F277" t="s">
        <v>172</v>
      </c>
      <c r="G277" t="s">
        <v>281</v>
      </c>
      <c r="H277" t="s">
        <v>269</v>
      </c>
      <c r="I277">
        <v>2500</v>
      </c>
      <c r="J277">
        <v>2532</v>
      </c>
      <c r="K277" s="22">
        <v>45436</v>
      </c>
      <c r="L277" s="22">
        <v>45447</v>
      </c>
      <c r="M277" s="22">
        <v>45456</v>
      </c>
      <c r="N277">
        <v>11</v>
      </c>
      <c r="O277">
        <v>9</v>
      </c>
      <c r="P277" t="s">
        <v>111</v>
      </c>
      <c r="Q277" t="s">
        <v>99</v>
      </c>
      <c r="R277">
        <v>120000</v>
      </c>
      <c r="S277" t="s">
        <v>164</v>
      </c>
      <c r="T277">
        <v>200</v>
      </c>
      <c r="U277" s="29">
        <f>tbl_Tasks_Clean[[#This Row],[Actual_Cost]]-tbl_Tasks_Clean[[#This Row],[Planned_Cost]]</f>
        <v>32</v>
      </c>
      <c r="V277" s="30">
        <f>IFERROR(tbl_Tasks_Clean[[#This Row],[Cost_Variance]]/tbl_Tasks_Clean[[#This Row],[Planned_Cost]],0)</f>
        <v>1.2800000000000001E-2</v>
      </c>
      <c r="W277" t="str">
        <f>IF(AND(tbl_Tasks_Clean[[#This Row],[Status]]="Completed",tbl_Tasks_Clean[[#This Row],[Delay_Days]]&lt;=0),"On Time",IF(AND(tbl_Tasks_Clean[[#This Row],[Status]]="Completed",tbl_Tasks_Clean[[#This Row],[Delay_Days]]&gt;0),"Late","N/A"))</f>
        <v>N/A</v>
      </c>
      <c r="X277" s="29" t="str" cm="1">
        <f t="array" ref="X277">_xlfn.IFS(tbl_Tasks_Clean[[#This Row],[Planned_Duration_Days]]&lt;=7,"Short (&lt;=7 days)",tbl_Tasks_Clean[[#This Row],[Planned_Duration_Days]]&lt;=20,"Medium (8-20 days)",TRUE,"Long (&gt;20 days)")</f>
        <v>Medium (8-20 days)</v>
      </c>
      <c r="Y277" s="29" t="str">
        <f>INDEX(Projects!$D:$D,MATCH(tbl_Tasks_Clean[[#This Row],[Project_ID]],Projects!$A:$A,0))</f>
        <v>Laila Samir</v>
      </c>
      <c r="Z277" s="29" t="str">
        <f>IF(tbl_Tasks_Clean[[#This Row],[Delay_Days]]&gt;0,"Delayed by "&amp;TEXT(tbl_Tasks_Clean[[#This Row],[Delay_Days]],"0")&amp;" days",IF(tbl_Tasks_Clean[[#This Row],[Delay_Days]]&lt;0,"Early by "&amp;TEXT(-tbl_Tasks_Clean[[#This Row],[Delay_Days]],"0")&amp;" days","On schedule"))</f>
        <v>Delayed by 9 days</v>
      </c>
    </row>
    <row r="278" spans="1:26" x14ac:dyDescent="0.3">
      <c r="A278" t="s">
        <v>1310</v>
      </c>
      <c r="B278" t="s">
        <v>96</v>
      </c>
      <c r="C278" t="s">
        <v>97</v>
      </c>
      <c r="D278" t="s">
        <v>1009</v>
      </c>
      <c r="E278" t="s">
        <v>150</v>
      </c>
      <c r="F278" t="s">
        <v>205</v>
      </c>
      <c r="G278" t="s">
        <v>350</v>
      </c>
      <c r="H278" t="s">
        <v>314</v>
      </c>
      <c r="I278">
        <v>4000</v>
      </c>
      <c r="J278">
        <v>3867</v>
      </c>
      <c r="K278" s="22">
        <v>45614</v>
      </c>
      <c r="L278" s="22">
        <v>45634</v>
      </c>
      <c r="M278" s="22">
        <v>45636</v>
      </c>
      <c r="N278">
        <v>20</v>
      </c>
      <c r="O278">
        <v>2</v>
      </c>
      <c r="P278" t="s">
        <v>98</v>
      </c>
      <c r="Q278" t="s">
        <v>99</v>
      </c>
      <c r="R278">
        <v>75000</v>
      </c>
      <c r="S278" t="s">
        <v>206</v>
      </c>
      <c r="T278">
        <v>150</v>
      </c>
      <c r="U278" s="29">
        <f>tbl_Tasks_Clean[[#This Row],[Actual_Cost]]-tbl_Tasks_Clean[[#This Row],[Planned_Cost]]</f>
        <v>-133</v>
      </c>
      <c r="V278" s="30">
        <f>IFERROR(tbl_Tasks_Clean[[#This Row],[Cost_Variance]]/tbl_Tasks_Clean[[#This Row],[Planned_Cost]],0)</f>
        <v>-3.3250000000000002E-2</v>
      </c>
      <c r="W278" t="str">
        <f>IF(AND(tbl_Tasks_Clean[[#This Row],[Status]]="Completed",tbl_Tasks_Clean[[#This Row],[Delay_Days]]&lt;=0),"On Time",IF(AND(tbl_Tasks_Clean[[#This Row],[Status]]="Completed",tbl_Tasks_Clean[[#This Row],[Delay_Days]]&gt;0),"Late","N/A"))</f>
        <v>Late</v>
      </c>
      <c r="X278" s="29" t="str" cm="1">
        <f t="array" ref="X278">_xlfn.IFS(tbl_Tasks_Clean[[#This Row],[Planned_Duration_Days]]&lt;=7,"Short (&lt;=7 days)",tbl_Tasks_Clean[[#This Row],[Planned_Duration_Days]]&lt;=20,"Medium (8-20 days)",TRUE,"Long (&gt;20 days)")</f>
        <v>Medium (8-20 days)</v>
      </c>
      <c r="Y278" s="29" t="str">
        <f>INDEX(Projects!$D:$D,MATCH(tbl_Tasks_Clean[[#This Row],[Project_ID]],Projects!$A:$A,0))</f>
        <v>Laila Samir</v>
      </c>
      <c r="Z278" s="29" t="str">
        <f>IF(tbl_Tasks_Clean[[#This Row],[Delay_Days]]&gt;0,"Delayed by "&amp;TEXT(tbl_Tasks_Clean[[#This Row],[Delay_Days]],"0")&amp;" days",IF(tbl_Tasks_Clean[[#This Row],[Delay_Days]]&lt;0,"Early by "&amp;TEXT(-tbl_Tasks_Clean[[#This Row],[Delay_Days]],"0")&amp;" days","On schedule"))</f>
        <v>Delayed by 2 days</v>
      </c>
    </row>
    <row r="279" spans="1:26" x14ac:dyDescent="0.3">
      <c r="A279" t="s">
        <v>1312</v>
      </c>
      <c r="B279" t="s">
        <v>118</v>
      </c>
      <c r="C279" t="s">
        <v>119</v>
      </c>
      <c r="D279" t="s">
        <v>1313</v>
      </c>
      <c r="E279" t="s">
        <v>206</v>
      </c>
      <c r="F279" t="s">
        <v>205</v>
      </c>
      <c r="G279" t="s">
        <v>350</v>
      </c>
      <c r="H279" t="s">
        <v>287</v>
      </c>
      <c r="I279">
        <v>2500</v>
      </c>
      <c r="J279">
        <v>1249</v>
      </c>
      <c r="K279" s="22">
        <v>45391</v>
      </c>
      <c r="L279" s="22">
        <v>45397</v>
      </c>
      <c r="M279" s="22"/>
      <c r="N279">
        <v>6</v>
      </c>
      <c r="O279">
        <v>0</v>
      </c>
      <c r="P279" t="s">
        <v>120</v>
      </c>
      <c r="Q279" t="s">
        <v>99</v>
      </c>
      <c r="R279">
        <v>100000</v>
      </c>
      <c r="S279" t="s">
        <v>206</v>
      </c>
      <c r="T279">
        <v>150</v>
      </c>
      <c r="U279" s="29">
        <f>tbl_Tasks_Clean[[#This Row],[Actual_Cost]]-tbl_Tasks_Clean[[#This Row],[Planned_Cost]]</f>
        <v>-1251</v>
      </c>
      <c r="V279" s="30">
        <f>IFERROR(tbl_Tasks_Clean[[#This Row],[Cost_Variance]]/tbl_Tasks_Clean[[#This Row],[Planned_Cost]],0)</f>
        <v>-0.50039999999999996</v>
      </c>
      <c r="W279" t="str">
        <f>IF(AND(tbl_Tasks_Clean[[#This Row],[Status]]="Completed",tbl_Tasks_Clean[[#This Row],[Delay_Days]]&lt;=0),"On Time",IF(AND(tbl_Tasks_Clean[[#This Row],[Status]]="Completed",tbl_Tasks_Clean[[#This Row],[Delay_Days]]&gt;0),"Late","N/A"))</f>
        <v>N/A</v>
      </c>
      <c r="X279" s="29" t="str" cm="1">
        <f t="array" ref="X279">_xlfn.IFS(tbl_Tasks_Clean[[#This Row],[Planned_Duration_Days]]&lt;=7,"Short (&lt;=7 days)",tbl_Tasks_Clean[[#This Row],[Planned_Duration_Days]]&lt;=20,"Medium (8-20 days)",TRUE,"Long (&gt;20 days)")</f>
        <v>Short (&lt;=7 days)</v>
      </c>
      <c r="Y279" s="29" t="str">
        <f>INDEX(Projects!$D:$D,MATCH(tbl_Tasks_Clean[[#This Row],[Project_ID]],Projects!$A:$A,0))</f>
        <v>Laila Samir</v>
      </c>
      <c r="Z279" s="29" t="str">
        <f>IF(tbl_Tasks_Clean[[#This Row],[Delay_Days]]&gt;0,"Delayed by "&amp;TEXT(tbl_Tasks_Clean[[#This Row],[Delay_Days]],"0")&amp;" days",IF(tbl_Tasks_Clean[[#This Row],[Delay_Days]]&lt;0,"Early by "&amp;TEXT(-tbl_Tasks_Clean[[#This Row],[Delay_Days]],"0")&amp;" days","On schedule"))</f>
        <v>On schedule</v>
      </c>
    </row>
    <row r="280" spans="1:26" x14ac:dyDescent="0.3">
      <c r="A280" t="s">
        <v>1315</v>
      </c>
      <c r="B280" t="s">
        <v>122</v>
      </c>
      <c r="C280" t="s">
        <v>123</v>
      </c>
      <c r="D280" t="s">
        <v>1316</v>
      </c>
      <c r="E280" t="s">
        <v>206</v>
      </c>
      <c r="F280" t="s">
        <v>186</v>
      </c>
      <c r="G280" t="s">
        <v>350</v>
      </c>
      <c r="H280" t="s">
        <v>269</v>
      </c>
      <c r="I280">
        <v>8000</v>
      </c>
      <c r="J280">
        <v>11105</v>
      </c>
      <c r="K280" s="22">
        <v>45457</v>
      </c>
      <c r="L280" s="22">
        <v>45463</v>
      </c>
      <c r="M280" s="22">
        <v>45466</v>
      </c>
      <c r="N280">
        <v>6</v>
      </c>
      <c r="O280">
        <v>3</v>
      </c>
      <c r="P280" t="s">
        <v>111</v>
      </c>
      <c r="Q280" t="s">
        <v>124</v>
      </c>
      <c r="R280">
        <v>150000</v>
      </c>
      <c r="S280" t="s">
        <v>187</v>
      </c>
      <c r="T280">
        <v>220</v>
      </c>
      <c r="U280" s="29">
        <f>tbl_Tasks_Clean[[#This Row],[Actual_Cost]]-tbl_Tasks_Clean[[#This Row],[Planned_Cost]]</f>
        <v>3105</v>
      </c>
      <c r="V280" s="30">
        <f>IFERROR(tbl_Tasks_Clean[[#This Row],[Cost_Variance]]/tbl_Tasks_Clean[[#This Row],[Planned_Cost]],0)</f>
        <v>0.388125</v>
      </c>
      <c r="W280" t="str">
        <f>IF(AND(tbl_Tasks_Clean[[#This Row],[Status]]="Completed",tbl_Tasks_Clean[[#This Row],[Delay_Days]]&lt;=0),"On Time",IF(AND(tbl_Tasks_Clean[[#This Row],[Status]]="Completed",tbl_Tasks_Clean[[#This Row],[Delay_Days]]&gt;0),"Late","N/A"))</f>
        <v>N/A</v>
      </c>
      <c r="X280" s="29" t="str" cm="1">
        <f t="array" ref="X280">_xlfn.IFS(tbl_Tasks_Clean[[#This Row],[Planned_Duration_Days]]&lt;=7,"Short (&lt;=7 days)",tbl_Tasks_Clean[[#This Row],[Planned_Duration_Days]]&lt;=20,"Medium (8-20 days)",TRUE,"Long (&gt;20 days)")</f>
        <v>Short (&lt;=7 days)</v>
      </c>
      <c r="Y280" s="29" t="str">
        <f>INDEX(Projects!$D:$D,MATCH(tbl_Tasks_Clean[[#This Row],[Project_ID]],Projects!$A:$A,0))</f>
        <v>Sara Hassan</v>
      </c>
      <c r="Z280" s="29" t="str">
        <f>IF(tbl_Tasks_Clean[[#This Row],[Delay_Days]]&gt;0,"Delayed by "&amp;TEXT(tbl_Tasks_Clean[[#This Row],[Delay_Days]],"0")&amp;" days",IF(tbl_Tasks_Clean[[#This Row],[Delay_Days]]&lt;0,"Early by "&amp;TEXT(-tbl_Tasks_Clean[[#This Row],[Delay_Days]],"0")&amp;" days","On schedule"))</f>
        <v>Delayed by 3 days</v>
      </c>
    </row>
    <row r="281" spans="1:26" x14ac:dyDescent="0.3">
      <c r="A281" t="s">
        <v>1319</v>
      </c>
      <c r="B281" t="s">
        <v>81</v>
      </c>
      <c r="C281" t="s">
        <v>82</v>
      </c>
      <c r="D281" t="s">
        <v>885</v>
      </c>
      <c r="E281" t="s">
        <v>197</v>
      </c>
      <c r="F281" t="s">
        <v>216</v>
      </c>
      <c r="G281" t="s">
        <v>350</v>
      </c>
      <c r="H281" t="s">
        <v>356</v>
      </c>
      <c r="I281">
        <v>1500</v>
      </c>
      <c r="J281">
        <v>1984</v>
      </c>
      <c r="K281" s="22">
        <v>45481</v>
      </c>
      <c r="L281" s="22">
        <v>45488</v>
      </c>
      <c r="M281" s="22">
        <v>45487</v>
      </c>
      <c r="N281">
        <v>7</v>
      </c>
      <c r="O281">
        <v>-1</v>
      </c>
      <c r="P281" t="s">
        <v>83</v>
      </c>
      <c r="Q281" t="s">
        <v>84</v>
      </c>
      <c r="R281">
        <v>75000</v>
      </c>
      <c r="S281" t="s">
        <v>206</v>
      </c>
      <c r="T281">
        <v>200</v>
      </c>
      <c r="U281" s="29">
        <f>tbl_Tasks_Clean[[#This Row],[Actual_Cost]]-tbl_Tasks_Clean[[#This Row],[Planned_Cost]]</f>
        <v>484</v>
      </c>
      <c r="V281" s="30">
        <f>IFERROR(tbl_Tasks_Clean[[#This Row],[Cost_Variance]]/tbl_Tasks_Clean[[#This Row],[Planned_Cost]],0)</f>
        <v>0.32266666666666666</v>
      </c>
      <c r="W281" t="str">
        <f>IF(AND(tbl_Tasks_Clean[[#This Row],[Status]]="Completed",tbl_Tasks_Clean[[#This Row],[Delay_Days]]&lt;=0),"On Time",IF(AND(tbl_Tasks_Clean[[#This Row],[Status]]="Completed",tbl_Tasks_Clean[[#This Row],[Delay_Days]]&gt;0),"Late","N/A"))</f>
        <v>N/A</v>
      </c>
      <c r="X281" s="29" t="str" cm="1">
        <f t="array" ref="X281">_xlfn.IFS(tbl_Tasks_Clean[[#This Row],[Planned_Duration_Days]]&lt;=7,"Short (&lt;=7 days)",tbl_Tasks_Clean[[#This Row],[Planned_Duration_Days]]&lt;=20,"Medium (8-20 days)",TRUE,"Long (&gt;20 days)")</f>
        <v>Short (&lt;=7 days)</v>
      </c>
      <c r="Y281" s="29" t="str">
        <f>INDEX(Projects!$D:$D,MATCH(tbl_Tasks_Clean[[#This Row],[Project_ID]],Projects!$A:$A,0))</f>
        <v>Mona Farid</v>
      </c>
      <c r="Z281" s="29" t="str">
        <f>IF(tbl_Tasks_Clean[[#This Row],[Delay_Days]]&gt;0,"Delayed by "&amp;TEXT(tbl_Tasks_Clean[[#This Row],[Delay_Days]],"0")&amp;" days",IF(tbl_Tasks_Clean[[#This Row],[Delay_Days]]&lt;0,"Early by "&amp;TEXT(-tbl_Tasks_Clean[[#This Row],[Delay_Days]],"0")&amp;" days","On schedule"))</f>
        <v>Early by 1 days</v>
      </c>
    </row>
    <row r="282" spans="1:26" x14ac:dyDescent="0.3">
      <c r="A282" t="s">
        <v>1321</v>
      </c>
      <c r="B282" t="s">
        <v>126</v>
      </c>
      <c r="C282" t="s">
        <v>127</v>
      </c>
      <c r="D282" t="s">
        <v>915</v>
      </c>
      <c r="E282" t="s">
        <v>187</v>
      </c>
      <c r="F282" t="s">
        <v>183</v>
      </c>
      <c r="G282" t="s">
        <v>250</v>
      </c>
      <c r="H282" t="s">
        <v>269</v>
      </c>
      <c r="I282">
        <v>1500</v>
      </c>
      <c r="J282">
        <v>1349</v>
      </c>
      <c r="K282" s="22">
        <v>45435</v>
      </c>
      <c r="L282" s="22">
        <v>45443</v>
      </c>
      <c r="M282" s="22">
        <v>45448</v>
      </c>
      <c r="N282">
        <v>8</v>
      </c>
      <c r="O282">
        <v>5</v>
      </c>
      <c r="P282" t="s">
        <v>128</v>
      </c>
      <c r="Q282" t="s">
        <v>94</v>
      </c>
      <c r="R282">
        <v>200000</v>
      </c>
      <c r="S282" t="s">
        <v>177</v>
      </c>
      <c r="T282">
        <v>220</v>
      </c>
      <c r="U282" s="29">
        <f>tbl_Tasks_Clean[[#This Row],[Actual_Cost]]-tbl_Tasks_Clean[[#This Row],[Planned_Cost]]</f>
        <v>-151</v>
      </c>
      <c r="V282" s="30">
        <f>IFERROR(tbl_Tasks_Clean[[#This Row],[Cost_Variance]]/tbl_Tasks_Clean[[#This Row],[Planned_Cost]],0)</f>
        <v>-0.10066666666666667</v>
      </c>
      <c r="W282" t="str">
        <f>IF(AND(tbl_Tasks_Clean[[#This Row],[Status]]="Completed",tbl_Tasks_Clean[[#This Row],[Delay_Days]]&lt;=0),"On Time",IF(AND(tbl_Tasks_Clean[[#This Row],[Status]]="Completed",tbl_Tasks_Clean[[#This Row],[Delay_Days]]&gt;0),"Late","N/A"))</f>
        <v>N/A</v>
      </c>
      <c r="X282" s="29" t="str" cm="1">
        <f t="array" ref="X282">_xlfn.IFS(tbl_Tasks_Clean[[#This Row],[Planned_Duration_Days]]&lt;=7,"Short (&lt;=7 days)",tbl_Tasks_Clean[[#This Row],[Planned_Duration_Days]]&lt;=20,"Medium (8-20 days)",TRUE,"Long (&gt;20 days)")</f>
        <v>Medium (8-20 days)</v>
      </c>
      <c r="Y282" s="29" t="str">
        <f>INDEX(Projects!$D:$D,MATCH(tbl_Tasks_Clean[[#This Row],[Project_ID]],Projects!$A:$A,0))</f>
        <v>Ahmed Nabil</v>
      </c>
      <c r="Z282" s="29" t="str">
        <f>IF(tbl_Tasks_Clean[[#This Row],[Delay_Days]]&gt;0,"Delayed by "&amp;TEXT(tbl_Tasks_Clean[[#This Row],[Delay_Days]],"0")&amp;" days",IF(tbl_Tasks_Clean[[#This Row],[Delay_Days]]&lt;0,"Early by "&amp;TEXT(-tbl_Tasks_Clean[[#This Row],[Delay_Days]],"0")&amp;" days","On schedule"))</f>
        <v>Delayed by 5 days</v>
      </c>
    </row>
    <row r="283" spans="1:26" x14ac:dyDescent="0.3">
      <c r="A283" t="s">
        <v>1324</v>
      </c>
      <c r="B283" t="s">
        <v>118</v>
      </c>
      <c r="C283" t="s">
        <v>119</v>
      </c>
      <c r="D283" t="s">
        <v>429</v>
      </c>
      <c r="E283" t="s">
        <v>187</v>
      </c>
      <c r="F283" t="s">
        <v>149</v>
      </c>
      <c r="G283" t="s">
        <v>350</v>
      </c>
      <c r="H283" t="s">
        <v>269</v>
      </c>
      <c r="I283">
        <v>2000</v>
      </c>
      <c r="J283">
        <v>2018</v>
      </c>
      <c r="K283" s="22">
        <v>45410</v>
      </c>
      <c r="L283" s="22">
        <v>45413</v>
      </c>
      <c r="M283" s="22">
        <v>45413</v>
      </c>
      <c r="N283">
        <v>3</v>
      </c>
      <c r="O283">
        <v>0</v>
      </c>
      <c r="P283" t="s">
        <v>120</v>
      </c>
      <c r="Q283" t="s">
        <v>99</v>
      </c>
      <c r="R283">
        <v>100000</v>
      </c>
      <c r="S283" t="s">
        <v>150</v>
      </c>
      <c r="T283">
        <v>150</v>
      </c>
      <c r="U283" s="29">
        <f>tbl_Tasks_Clean[[#This Row],[Actual_Cost]]-tbl_Tasks_Clean[[#This Row],[Planned_Cost]]</f>
        <v>18</v>
      </c>
      <c r="V283" s="30">
        <f>IFERROR(tbl_Tasks_Clean[[#This Row],[Cost_Variance]]/tbl_Tasks_Clean[[#This Row],[Planned_Cost]],0)</f>
        <v>8.9999999999999993E-3</v>
      </c>
      <c r="W283" t="str">
        <f>IF(AND(tbl_Tasks_Clean[[#This Row],[Status]]="Completed",tbl_Tasks_Clean[[#This Row],[Delay_Days]]&lt;=0),"On Time",IF(AND(tbl_Tasks_Clean[[#This Row],[Status]]="Completed",tbl_Tasks_Clean[[#This Row],[Delay_Days]]&gt;0),"Late","N/A"))</f>
        <v>N/A</v>
      </c>
      <c r="X283" s="29" t="str" cm="1">
        <f t="array" ref="X283">_xlfn.IFS(tbl_Tasks_Clean[[#This Row],[Planned_Duration_Days]]&lt;=7,"Short (&lt;=7 days)",tbl_Tasks_Clean[[#This Row],[Planned_Duration_Days]]&lt;=20,"Medium (8-20 days)",TRUE,"Long (&gt;20 days)")</f>
        <v>Short (&lt;=7 days)</v>
      </c>
      <c r="Y283" s="29" t="str">
        <f>INDEX(Projects!$D:$D,MATCH(tbl_Tasks_Clean[[#This Row],[Project_ID]],Projects!$A:$A,0))</f>
        <v>Laila Samir</v>
      </c>
      <c r="Z283" s="29" t="str">
        <f>IF(tbl_Tasks_Clean[[#This Row],[Delay_Days]]&gt;0,"Delayed by "&amp;TEXT(tbl_Tasks_Clean[[#This Row],[Delay_Days]],"0")&amp;" days",IF(tbl_Tasks_Clean[[#This Row],[Delay_Days]]&lt;0,"Early by "&amp;TEXT(-tbl_Tasks_Clean[[#This Row],[Delay_Days]],"0")&amp;" days","On schedule"))</f>
        <v>On schedule</v>
      </c>
    </row>
    <row r="284" spans="1:26" x14ac:dyDescent="0.3">
      <c r="A284" t="s">
        <v>1325</v>
      </c>
      <c r="B284" t="s">
        <v>136</v>
      </c>
      <c r="C284" t="s">
        <v>137</v>
      </c>
      <c r="D284" t="s">
        <v>985</v>
      </c>
      <c r="E284" t="s">
        <v>197</v>
      </c>
      <c r="F284" t="s">
        <v>183</v>
      </c>
      <c r="G284" t="s">
        <v>281</v>
      </c>
      <c r="H284" t="s">
        <v>319</v>
      </c>
      <c r="I284">
        <v>3000</v>
      </c>
      <c r="J284">
        <v>2385</v>
      </c>
      <c r="K284" s="22"/>
      <c r="L284" s="22"/>
      <c r="M284" s="22"/>
      <c r="O284">
        <v>0</v>
      </c>
      <c r="P284" t="s">
        <v>138</v>
      </c>
      <c r="Q284" t="s">
        <v>94</v>
      </c>
      <c r="R284">
        <v>300000</v>
      </c>
      <c r="S284" t="s">
        <v>177</v>
      </c>
      <c r="T284">
        <v>220</v>
      </c>
      <c r="U284" s="29">
        <f>tbl_Tasks_Clean[[#This Row],[Actual_Cost]]-tbl_Tasks_Clean[[#This Row],[Planned_Cost]]</f>
        <v>-615</v>
      </c>
      <c r="V284" s="30">
        <f>IFERROR(tbl_Tasks_Clean[[#This Row],[Cost_Variance]]/tbl_Tasks_Clean[[#This Row],[Planned_Cost]],0)</f>
        <v>-0.20499999999999999</v>
      </c>
      <c r="W284" t="str">
        <f>IF(AND(tbl_Tasks_Clean[[#This Row],[Status]]="Completed",tbl_Tasks_Clean[[#This Row],[Delay_Days]]&lt;=0),"On Time",IF(AND(tbl_Tasks_Clean[[#This Row],[Status]]="Completed",tbl_Tasks_Clean[[#This Row],[Delay_Days]]&gt;0),"Late","N/A"))</f>
        <v>N/A</v>
      </c>
      <c r="X284" s="29" t="str" cm="1">
        <f t="array" ref="X284">_xlfn.IFS(tbl_Tasks_Clean[[#This Row],[Planned_Duration_Days]]&lt;=7,"Short (&lt;=7 days)",tbl_Tasks_Clean[[#This Row],[Planned_Duration_Days]]&lt;=20,"Medium (8-20 days)",TRUE,"Long (&gt;20 days)")</f>
        <v>Short (&lt;=7 days)</v>
      </c>
      <c r="Y284" s="29" t="str">
        <f>INDEX(Projects!$D:$D,MATCH(tbl_Tasks_Clean[[#This Row],[Project_ID]],Projects!$A:$A,0))</f>
        <v>Ahmed Nabil</v>
      </c>
      <c r="Z284" s="29" t="str">
        <f>IF(tbl_Tasks_Clean[[#This Row],[Delay_Days]]&gt;0,"Delayed by "&amp;TEXT(tbl_Tasks_Clean[[#This Row],[Delay_Days]],"0")&amp;" days",IF(tbl_Tasks_Clean[[#This Row],[Delay_Days]]&lt;0,"Early by "&amp;TEXT(-tbl_Tasks_Clean[[#This Row],[Delay_Days]],"0")&amp;" days","On schedule"))</f>
        <v>On schedule</v>
      </c>
    </row>
    <row r="285" spans="1:26" x14ac:dyDescent="0.3">
      <c r="A285" t="s">
        <v>1328</v>
      </c>
      <c r="B285" t="s">
        <v>113</v>
      </c>
      <c r="C285" t="s">
        <v>114</v>
      </c>
      <c r="D285" t="s">
        <v>857</v>
      </c>
      <c r="E285" t="s">
        <v>206</v>
      </c>
      <c r="F285" t="s">
        <v>155</v>
      </c>
      <c r="G285" t="s">
        <v>281</v>
      </c>
      <c r="H285" t="s">
        <v>314</v>
      </c>
      <c r="I285">
        <v>5000</v>
      </c>
      <c r="J285">
        <v>6722</v>
      </c>
      <c r="K285" s="22">
        <v>45471</v>
      </c>
      <c r="L285" s="22">
        <v>45477</v>
      </c>
      <c r="M285" s="22">
        <v>45476</v>
      </c>
      <c r="N285">
        <v>6</v>
      </c>
      <c r="O285">
        <v>-1</v>
      </c>
      <c r="P285" t="s">
        <v>115</v>
      </c>
      <c r="Q285" t="s">
        <v>116</v>
      </c>
      <c r="R285">
        <v>300000</v>
      </c>
      <c r="S285" t="s">
        <v>150</v>
      </c>
      <c r="T285">
        <v>280</v>
      </c>
      <c r="U285" s="29">
        <f>tbl_Tasks_Clean[[#This Row],[Actual_Cost]]-tbl_Tasks_Clean[[#This Row],[Planned_Cost]]</f>
        <v>1722</v>
      </c>
      <c r="V285" s="30">
        <f>IFERROR(tbl_Tasks_Clean[[#This Row],[Cost_Variance]]/tbl_Tasks_Clean[[#This Row],[Planned_Cost]],0)</f>
        <v>0.34439999999999998</v>
      </c>
      <c r="W285" t="str">
        <f>IF(AND(tbl_Tasks_Clean[[#This Row],[Status]]="Completed",tbl_Tasks_Clean[[#This Row],[Delay_Days]]&lt;=0),"On Time",IF(AND(tbl_Tasks_Clean[[#This Row],[Status]]="Completed",tbl_Tasks_Clean[[#This Row],[Delay_Days]]&gt;0),"Late","N/A"))</f>
        <v>On Time</v>
      </c>
      <c r="X285" s="29" t="str" cm="1">
        <f t="array" ref="X285">_xlfn.IFS(tbl_Tasks_Clean[[#This Row],[Planned_Duration_Days]]&lt;=7,"Short (&lt;=7 days)",tbl_Tasks_Clean[[#This Row],[Planned_Duration_Days]]&lt;=20,"Medium (8-20 days)",TRUE,"Long (&gt;20 days)")</f>
        <v>Short (&lt;=7 days)</v>
      </c>
      <c r="Y285" s="29" t="str">
        <f>INDEX(Projects!$D:$D,MATCH(tbl_Tasks_Clean[[#This Row],[Project_ID]],Projects!$A:$A,0))</f>
        <v>Nourhan Tarek</v>
      </c>
      <c r="Z285" s="29" t="str">
        <f>IF(tbl_Tasks_Clean[[#This Row],[Delay_Days]]&gt;0,"Delayed by "&amp;TEXT(tbl_Tasks_Clean[[#This Row],[Delay_Days]],"0")&amp;" days",IF(tbl_Tasks_Clean[[#This Row],[Delay_Days]]&lt;0,"Early by "&amp;TEXT(-tbl_Tasks_Clean[[#This Row],[Delay_Days]],"0")&amp;" days","On schedule"))</f>
        <v>Early by 1 days</v>
      </c>
    </row>
    <row r="286" spans="1:26" x14ac:dyDescent="0.3">
      <c r="A286" t="s">
        <v>1331</v>
      </c>
      <c r="B286" t="s">
        <v>105</v>
      </c>
      <c r="C286" t="s">
        <v>106</v>
      </c>
      <c r="D286" t="s">
        <v>1332</v>
      </c>
      <c r="E286" t="s">
        <v>164</v>
      </c>
      <c r="F286" t="s">
        <v>193</v>
      </c>
      <c r="G286" t="s">
        <v>350</v>
      </c>
      <c r="H286" t="s">
        <v>287</v>
      </c>
      <c r="I286">
        <v>8000</v>
      </c>
      <c r="J286">
        <v>5320</v>
      </c>
      <c r="K286" s="22">
        <v>45399</v>
      </c>
      <c r="L286" s="22">
        <v>45415</v>
      </c>
      <c r="M286" s="22"/>
      <c r="N286">
        <v>16</v>
      </c>
      <c r="O286">
        <v>0</v>
      </c>
      <c r="P286" t="s">
        <v>107</v>
      </c>
      <c r="Q286" t="s">
        <v>84</v>
      </c>
      <c r="R286">
        <v>120000</v>
      </c>
      <c r="S286" t="s">
        <v>187</v>
      </c>
      <c r="T286">
        <v>300</v>
      </c>
      <c r="U286" s="29">
        <f>tbl_Tasks_Clean[[#This Row],[Actual_Cost]]-tbl_Tasks_Clean[[#This Row],[Planned_Cost]]</f>
        <v>-2680</v>
      </c>
      <c r="V286" s="30">
        <f>IFERROR(tbl_Tasks_Clean[[#This Row],[Cost_Variance]]/tbl_Tasks_Clean[[#This Row],[Planned_Cost]],0)</f>
        <v>-0.33500000000000002</v>
      </c>
      <c r="W286" t="str">
        <f>IF(AND(tbl_Tasks_Clean[[#This Row],[Status]]="Completed",tbl_Tasks_Clean[[#This Row],[Delay_Days]]&lt;=0),"On Time",IF(AND(tbl_Tasks_Clean[[#This Row],[Status]]="Completed",tbl_Tasks_Clean[[#This Row],[Delay_Days]]&gt;0),"Late","N/A"))</f>
        <v>N/A</v>
      </c>
      <c r="X286" s="29" t="str" cm="1">
        <f t="array" ref="X286">_xlfn.IFS(tbl_Tasks_Clean[[#This Row],[Planned_Duration_Days]]&lt;=7,"Short (&lt;=7 days)",tbl_Tasks_Clean[[#This Row],[Planned_Duration_Days]]&lt;=20,"Medium (8-20 days)",TRUE,"Long (&gt;20 days)")</f>
        <v>Medium (8-20 days)</v>
      </c>
      <c r="Y286" s="29" t="str">
        <f>INDEX(Projects!$D:$D,MATCH(tbl_Tasks_Clean[[#This Row],[Project_ID]],Projects!$A:$A,0))</f>
        <v>Mona Farid</v>
      </c>
      <c r="Z286" s="29" t="str">
        <f>IF(tbl_Tasks_Clean[[#This Row],[Delay_Days]]&gt;0,"Delayed by "&amp;TEXT(tbl_Tasks_Clean[[#This Row],[Delay_Days]],"0")&amp;" days",IF(tbl_Tasks_Clean[[#This Row],[Delay_Days]]&lt;0,"Early by "&amp;TEXT(-tbl_Tasks_Clean[[#This Row],[Delay_Days]],"0")&amp;" days","On schedule"))</f>
        <v>On schedule</v>
      </c>
    </row>
    <row r="287" spans="1:26" x14ac:dyDescent="0.3">
      <c r="A287" t="s">
        <v>1334</v>
      </c>
      <c r="B287" t="s">
        <v>129</v>
      </c>
      <c r="C287" t="s">
        <v>130</v>
      </c>
      <c r="D287" t="s">
        <v>1335</v>
      </c>
      <c r="E287" t="s">
        <v>197</v>
      </c>
      <c r="F287" t="s">
        <v>180</v>
      </c>
      <c r="G287" t="s">
        <v>250</v>
      </c>
      <c r="H287" t="s">
        <v>314</v>
      </c>
      <c r="I287">
        <v>2500</v>
      </c>
      <c r="J287">
        <v>1754</v>
      </c>
      <c r="K287" s="22">
        <v>45344</v>
      </c>
      <c r="L287" s="22">
        <v>45350</v>
      </c>
      <c r="M287" s="22">
        <v>45352</v>
      </c>
      <c r="N287">
        <v>6</v>
      </c>
      <c r="O287">
        <v>2</v>
      </c>
      <c r="P287" t="s">
        <v>131</v>
      </c>
      <c r="Q287" t="s">
        <v>94</v>
      </c>
      <c r="R287">
        <v>250000</v>
      </c>
      <c r="S287" t="s">
        <v>177</v>
      </c>
      <c r="T287">
        <v>280</v>
      </c>
      <c r="U287" s="29">
        <f>tbl_Tasks_Clean[[#This Row],[Actual_Cost]]-tbl_Tasks_Clean[[#This Row],[Planned_Cost]]</f>
        <v>-746</v>
      </c>
      <c r="V287" s="30">
        <f>IFERROR(tbl_Tasks_Clean[[#This Row],[Cost_Variance]]/tbl_Tasks_Clean[[#This Row],[Planned_Cost]],0)</f>
        <v>-0.2984</v>
      </c>
      <c r="W287" t="str">
        <f>IF(AND(tbl_Tasks_Clean[[#This Row],[Status]]="Completed",tbl_Tasks_Clean[[#This Row],[Delay_Days]]&lt;=0),"On Time",IF(AND(tbl_Tasks_Clean[[#This Row],[Status]]="Completed",tbl_Tasks_Clean[[#This Row],[Delay_Days]]&gt;0),"Late","N/A"))</f>
        <v>Late</v>
      </c>
      <c r="X287" s="29" t="str" cm="1">
        <f t="array" ref="X287">_xlfn.IFS(tbl_Tasks_Clean[[#This Row],[Planned_Duration_Days]]&lt;=7,"Short (&lt;=7 days)",tbl_Tasks_Clean[[#This Row],[Planned_Duration_Days]]&lt;=20,"Medium (8-20 days)",TRUE,"Long (&gt;20 days)")</f>
        <v>Short (&lt;=7 days)</v>
      </c>
      <c r="Y287" s="29" t="str">
        <f>INDEX(Projects!$D:$D,MATCH(tbl_Tasks_Clean[[#This Row],[Project_ID]],Projects!$A:$A,0))</f>
        <v>Ahmed Nabil</v>
      </c>
      <c r="Z287" s="29" t="str">
        <f>IF(tbl_Tasks_Clean[[#This Row],[Delay_Days]]&gt;0,"Delayed by "&amp;TEXT(tbl_Tasks_Clean[[#This Row],[Delay_Days]],"0")&amp;" days",IF(tbl_Tasks_Clean[[#This Row],[Delay_Days]]&lt;0,"Early by "&amp;TEXT(-tbl_Tasks_Clean[[#This Row],[Delay_Days]],"0")&amp;" days","On schedule"))</f>
        <v>Delayed by 2 days</v>
      </c>
    </row>
    <row r="288" spans="1:26" x14ac:dyDescent="0.3">
      <c r="A288" t="s">
        <v>1340</v>
      </c>
      <c r="B288" t="s">
        <v>91</v>
      </c>
      <c r="C288" t="s">
        <v>92</v>
      </c>
      <c r="D288" t="s">
        <v>1341</v>
      </c>
      <c r="E288" t="s">
        <v>150</v>
      </c>
      <c r="F288" t="s">
        <v>169</v>
      </c>
      <c r="G288" t="s">
        <v>250</v>
      </c>
      <c r="H288" t="s">
        <v>276</v>
      </c>
      <c r="I288">
        <v>4000</v>
      </c>
      <c r="J288">
        <v>0</v>
      </c>
      <c r="K288" s="22"/>
      <c r="L288" s="22"/>
      <c r="M288" s="22"/>
      <c r="O288">
        <v>0</v>
      </c>
      <c r="P288" t="s">
        <v>93</v>
      </c>
      <c r="Q288" t="s">
        <v>94</v>
      </c>
      <c r="R288">
        <v>100000</v>
      </c>
      <c r="S288" t="s">
        <v>164</v>
      </c>
      <c r="T288">
        <v>200</v>
      </c>
      <c r="U288" s="29">
        <f>tbl_Tasks_Clean[[#This Row],[Actual_Cost]]-tbl_Tasks_Clean[[#This Row],[Planned_Cost]]</f>
        <v>-4000</v>
      </c>
      <c r="V288" s="30">
        <f>IFERROR(tbl_Tasks_Clean[[#This Row],[Cost_Variance]]/tbl_Tasks_Clean[[#This Row],[Planned_Cost]],0)</f>
        <v>-1</v>
      </c>
      <c r="W288" t="str">
        <f>IF(AND(tbl_Tasks_Clean[[#This Row],[Status]]="Completed",tbl_Tasks_Clean[[#This Row],[Delay_Days]]&lt;=0),"On Time",IF(AND(tbl_Tasks_Clean[[#This Row],[Status]]="Completed",tbl_Tasks_Clean[[#This Row],[Delay_Days]]&gt;0),"Late","N/A"))</f>
        <v>N/A</v>
      </c>
      <c r="X288" s="29" t="str" cm="1">
        <f t="array" ref="X288">_xlfn.IFS(tbl_Tasks_Clean[[#This Row],[Planned_Duration_Days]]&lt;=7,"Short (&lt;=7 days)",tbl_Tasks_Clean[[#This Row],[Planned_Duration_Days]]&lt;=20,"Medium (8-20 days)",TRUE,"Long (&gt;20 days)")</f>
        <v>Short (&lt;=7 days)</v>
      </c>
      <c r="Y288" s="29" t="str">
        <f>INDEX(Projects!$D:$D,MATCH(tbl_Tasks_Clean[[#This Row],[Project_ID]],Projects!$A:$A,0))</f>
        <v>Ahmed Nabil</v>
      </c>
      <c r="Z288" s="29" t="str">
        <f>IF(tbl_Tasks_Clean[[#This Row],[Delay_Days]]&gt;0,"Delayed by "&amp;TEXT(tbl_Tasks_Clean[[#This Row],[Delay_Days]],"0")&amp;" days",IF(tbl_Tasks_Clean[[#This Row],[Delay_Days]]&lt;0,"Early by "&amp;TEXT(-tbl_Tasks_Clean[[#This Row],[Delay_Days]],"0")&amp;" days","On schedule"))</f>
        <v>On schedule</v>
      </c>
    </row>
    <row r="289" spans="1:26" x14ac:dyDescent="0.3">
      <c r="A289" t="s">
        <v>1343</v>
      </c>
      <c r="B289" t="s">
        <v>91</v>
      </c>
      <c r="C289" t="s">
        <v>92</v>
      </c>
      <c r="D289" t="s">
        <v>1344</v>
      </c>
      <c r="E289" t="s">
        <v>177</v>
      </c>
      <c r="F289" t="s">
        <v>155</v>
      </c>
      <c r="G289" t="s">
        <v>250</v>
      </c>
      <c r="H289" t="s">
        <v>287</v>
      </c>
      <c r="I289">
        <v>2000</v>
      </c>
      <c r="J289">
        <v>604</v>
      </c>
      <c r="K289" s="22">
        <v>45493</v>
      </c>
      <c r="L289" s="22">
        <v>45517</v>
      </c>
      <c r="M289" s="22"/>
      <c r="N289">
        <v>24</v>
      </c>
      <c r="O289">
        <v>0</v>
      </c>
      <c r="P289" t="s">
        <v>93</v>
      </c>
      <c r="Q289" t="s">
        <v>94</v>
      </c>
      <c r="R289">
        <v>100000</v>
      </c>
      <c r="S289" t="s">
        <v>150</v>
      </c>
      <c r="T289">
        <v>280</v>
      </c>
      <c r="U289" s="29">
        <f>tbl_Tasks_Clean[[#This Row],[Actual_Cost]]-tbl_Tasks_Clean[[#This Row],[Planned_Cost]]</f>
        <v>-1396</v>
      </c>
      <c r="V289" s="30">
        <f>IFERROR(tbl_Tasks_Clean[[#This Row],[Cost_Variance]]/tbl_Tasks_Clean[[#This Row],[Planned_Cost]],0)</f>
        <v>-0.69799999999999995</v>
      </c>
      <c r="W289" t="str">
        <f>IF(AND(tbl_Tasks_Clean[[#This Row],[Status]]="Completed",tbl_Tasks_Clean[[#This Row],[Delay_Days]]&lt;=0),"On Time",IF(AND(tbl_Tasks_Clean[[#This Row],[Status]]="Completed",tbl_Tasks_Clean[[#This Row],[Delay_Days]]&gt;0),"Late","N/A"))</f>
        <v>N/A</v>
      </c>
      <c r="X289" s="29" t="str" cm="1">
        <f t="array" ref="X289">_xlfn.IFS(tbl_Tasks_Clean[[#This Row],[Planned_Duration_Days]]&lt;=7,"Short (&lt;=7 days)",tbl_Tasks_Clean[[#This Row],[Planned_Duration_Days]]&lt;=20,"Medium (8-20 days)",TRUE,"Long (&gt;20 days)")</f>
        <v>Long (&gt;20 days)</v>
      </c>
      <c r="Y289" s="29" t="str">
        <f>INDEX(Projects!$D:$D,MATCH(tbl_Tasks_Clean[[#This Row],[Project_ID]],Projects!$A:$A,0))</f>
        <v>Ahmed Nabil</v>
      </c>
      <c r="Z289" s="29" t="str">
        <f>IF(tbl_Tasks_Clean[[#This Row],[Delay_Days]]&gt;0,"Delayed by "&amp;TEXT(tbl_Tasks_Clean[[#This Row],[Delay_Days]],"0")&amp;" days",IF(tbl_Tasks_Clean[[#This Row],[Delay_Days]]&lt;0,"Early by "&amp;TEXT(-tbl_Tasks_Clean[[#This Row],[Delay_Days]],"0")&amp;" days","On schedule"))</f>
        <v>On schedule</v>
      </c>
    </row>
    <row r="290" spans="1:26" x14ac:dyDescent="0.3">
      <c r="A290" t="s">
        <v>1347</v>
      </c>
      <c r="B290" t="s">
        <v>136</v>
      </c>
      <c r="C290" t="s">
        <v>137</v>
      </c>
      <c r="D290" t="s">
        <v>291</v>
      </c>
      <c r="E290" t="s">
        <v>187</v>
      </c>
      <c r="F290" t="s">
        <v>203</v>
      </c>
      <c r="G290" t="s">
        <v>250</v>
      </c>
      <c r="H290" t="s">
        <v>314</v>
      </c>
      <c r="I290">
        <v>2000</v>
      </c>
      <c r="J290">
        <v>1651</v>
      </c>
      <c r="K290" s="22"/>
      <c r="L290" s="22"/>
      <c r="M290" s="22"/>
      <c r="O290">
        <v>0</v>
      </c>
      <c r="P290" t="s">
        <v>138</v>
      </c>
      <c r="Q290" t="s">
        <v>94</v>
      </c>
      <c r="R290">
        <v>300000</v>
      </c>
      <c r="S290" t="s">
        <v>197</v>
      </c>
      <c r="T290">
        <v>300</v>
      </c>
      <c r="U290" s="29">
        <f>tbl_Tasks_Clean[[#This Row],[Actual_Cost]]-tbl_Tasks_Clean[[#This Row],[Planned_Cost]]</f>
        <v>-349</v>
      </c>
      <c r="V290" s="30">
        <f>IFERROR(tbl_Tasks_Clean[[#This Row],[Cost_Variance]]/tbl_Tasks_Clean[[#This Row],[Planned_Cost]],0)</f>
        <v>-0.17449999999999999</v>
      </c>
      <c r="W290" t="str">
        <f>IF(AND(tbl_Tasks_Clean[[#This Row],[Status]]="Completed",tbl_Tasks_Clean[[#This Row],[Delay_Days]]&lt;=0),"On Time",IF(AND(tbl_Tasks_Clean[[#This Row],[Status]]="Completed",tbl_Tasks_Clean[[#This Row],[Delay_Days]]&gt;0),"Late","N/A"))</f>
        <v>On Time</v>
      </c>
      <c r="X290" s="29" t="str" cm="1">
        <f t="array" ref="X290">_xlfn.IFS(tbl_Tasks_Clean[[#This Row],[Planned_Duration_Days]]&lt;=7,"Short (&lt;=7 days)",tbl_Tasks_Clean[[#This Row],[Planned_Duration_Days]]&lt;=20,"Medium (8-20 days)",TRUE,"Long (&gt;20 days)")</f>
        <v>Short (&lt;=7 days)</v>
      </c>
      <c r="Y290" s="29" t="str">
        <f>INDEX(Projects!$D:$D,MATCH(tbl_Tasks_Clean[[#This Row],[Project_ID]],Projects!$A:$A,0))</f>
        <v>Ahmed Nabil</v>
      </c>
      <c r="Z290" s="29" t="str">
        <f>IF(tbl_Tasks_Clean[[#This Row],[Delay_Days]]&gt;0,"Delayed by "&amp;TEXT(tbl_Tasks_Clean[[#This Row],[Delay_Days]],"0")&amp;" days",IF(tbl_Tasks_Clean[[#This Row],[Delay_Days]]&lt;0,"Early by "&amp;TEXT(-tbl_Tasks_Clean[[#This Row],[Delay_Days]],"0")&amp;" days","On schedule"))</f>
        <v>On schedule</v>
      </c>
    </row>
    <row r="291" spans="1:26" x14ac:dyDescent="0.3">
      <c r="A291" t="s">
        <v>1349</v>
      </c>
      <c r="B291" t="s">
        <v>96</v>
      </c>
      <c r="C291" t="s">
        <v>97</v>
      </c>
      <c r="D291" t="s">
        <v>1350</v>
      </c>
      <c r="E291" t="s">
        <v>177</v>
      </c>
      <c r="F291" t="s">
        <v>169</v>
      </c>
      <c r="G291" t="s">
        <v>350</v>
      </c>
      <c r="H291" t="s">
        <v>287</v>
      </c>
      <c r="I291">
        <v>5000</v>
      </c>
      <c r="J291">
        <v>3533</v>
      </c>
      <c r="K291" s="22">
        <v>45557</v>
      </c>
      <c r="L291" s="22">
        <v>45562</v>
      </c>
      <c r="M291" s="22"/>
      <c r="N291">
        <v>5</v>
      </c>
      <c r="O291">
        <v>0</v>
      </c>
      <c r="P291" t="s">
        <v>98</v>
      </c>
      <c r="Q291" t="s">
        <v>99</v>
      </c>
      <c r="R291">
        <v>75000</v>
      </c>
      <c r="S291" t="s">
        <v>164</v>
      </c>
      <c r="T291">
        <v>200</v>
      </c>
      <c r="U291" s="29">
        <f>tbl_Tasks_Clean[[#This Row],[Actual_Cost]]-tbl_Tasks_Clean[[#This Row],[Planned_Cost]]</f>
        <v>-1467</v>
      </c>
      <c r="V291" s="30">
        <f>IFERROR(tbl_Tasks_Clean[[#This Row],[Cost_Variance]]/tbl_Tasks_Clean[[#This Row],[Planned_Cost]],0)</f>
        <v>-0.29339999999999999</v>
      </c>
      <c r="W291" t="str">
        <f>IF(AND(tbl_Tasks_Clean[[#This Row],[Status]]="Completed",tbl_Tasks_Clean[[#This Row],[Delay_Days]]&lt;=0),"On Time",IF(AND(tbl_Tasks_Clean[[#This Row],[Status]]="Completed",tbl_Tasks_Clean[[#This Row],[Delay_Days]]&gt;0),"Late","N/A"))</f>
        <v>N/A</v>
      </c>
      <c r="X291" s="29" t="str" cm="1">
        <f t="array" ref="X291">_xlfn.IFS(tbl_Tasks_Clean[[#This Row],[Planned_Duration_Days]]&lt;=7,"Short (&lt;=7 days)",tbl_Tasks_Clean[[#This Row],[Planned_Duration_Days]]&lt;=20,"Medium (8-20 days)",TRUE,"Long (&gt;20 days)")</f>
        <v>Short (&lt;=7 days)</v>
      </c>
      <c r="Y291" s="29" t="str">
        <f>INDEX(Projects!$D:$D,MATCH(tbl_Tasks_Clean[[#This Row],[Project_ID]],Projects!$A:$A,0))</f>
        <v>Laila Samir</v>
      </c>
      <c r="Z291" s="29" t="str">
        <f>IF(tbl_Tasks_Clean[[#This Row],[Delay_Days]]&gt;0,"Delayed by "&amp;TEXT(tbl_Tasks_Clean[[#This Row],[Delay_Days]],"0")&amp;" days",IF(tbl_Tasks_Clean[[#This Row],[Delay_Days]]&lt;0,"Early by "&amp;TEXT(-tbl_Tasks_Clean[[#This Row],[Delay_Days]],"0")&amp;" days","On schedule"))</f>
        <v>On schedule</v>
      </c>
    </row>
    <row r="292" spans="1:26" x14ac:dyDescent="0.3">
      <c r="A292" t="s">
        <v>1353</v>
      </c>
      <c r="B292" t="s">
        <v>118</v>
      </c>
      <c r="C292" t="s">
        <v>119</v>
      </c>
      <c r="D292" t="s">
        <v>836</v>
      </c>
      <c r="E292" t="s">
        <v>187</v>
      </c>
      <c r="F292" t="s">
        <v>174</v>
      </c>
      <c r="G292" t="s">
        <v>281</v>
      </c>
      <c r="H292" t="s">
        <v>314</v>
      </c>
      <c r="I292">
        <v>10000</v>
      </c>
      <c r="J292">
        <v>12048</v>
      </c>
      <c r="K292" s="22">
        <v>45356</v>
      </c>
      <c r="L292" s="22">
        <v>45376</v>
      </c>
      <c r="M292" s="22">
        <v>45377</v>
      </c>
      <c r="N292">
        <v>20</v>
      </c>
      <c r="O292">
        <v>1</v>
      </c>
      <c r="P292" t="s">
        <v>120</v>
      </c>
      <c r="Q292" t="s">
        <v>99</v>
      </c>
      <c r="R292">
        <v>100000</v>
      </c>
      <c r="S292" t="s">
        <v>164</v>
      </c>
      <c r="T292">
        <v>220</v>
      </c>
      <c r="U292" s="29">
        <f>tbl_Tasks_Clean[[#This Row],[Actual_Cost]]-tbl_Tasks_Clean[[#This Row],[Planned_Cost]]</f>
        <v>2048</v>
      </c>
      <c r="V292" s="30">
        <f>IFERROR(tbl_Tasks_Clean[[#This Row],[Cost_Variance]]/tbl_Tasks_Clean[[#This Row],[Planned_Cost]],0)</f>
        <v>0.20480000000000001</v>
      </c>
      <c r="W292" t="str">
        <f>IF(AND(tbl_Tasks_Clean[[#This Row],[Status]]="Completed",tbl_Tasks_Clean[[#This Row],[Delay_Days]]&lt;=0),"On Time",IF(AND(tbl_Tasks_Clean[[#This Row],[Status]]="Completed",tbl_Tasks_Clean[[#This Row],[Delay_Days]]&gt;0),"Late","N/A"))</f>
        <v>Late</v>
      </c>
      <c r="X292" s="29" t="str" cm="1">
        <f t="array" ref="X292">_xlfn.IFS(tbl_Tasks_Clean[[#This Row],[Planned_Duration_Days]]&lt;=7,"Short (&lt;=7 days)",tbl_Tasks_Clean[[#This Row],[Planned_Duration_Days]]&lt;=20,"Medium (8-20 days)",TRUE,"Long (&gt;20 days)")</f>
        <v>Medium (8-20 days)</v>
      </c>
      <c r="Y292" s="29" t="str">
        <f>INDEX(Projects!$D:$D,MATCH(tbl_Tasks_Clean[[#This Row],[Project_ID]],Projects!$A:$A,0))</f>
        <v>Laila Samir</v>
      </c>
      <c r="Z292" s="29" t="str">
        <f>IF(tbl_Tasks_Clean[[#This Row],[Delay_Days]]&gt;0,"Delayed by "&amp;TEXT(tbl_Tasks_Clean[[#This Row],[Delay_Days]],"0")&amp;" days",IF(tbl_Tasks_Clean[[#This Row],[Delay_Days]]&lt;0,"Early by "&amp;TEXT(-tbl_Tasks_Clean[[#This Row],[Delay_Days]],"0")&amp;" days","On schedule"))</f>
        <v>Delayed by 1 days</v>
      </c>
    </row>
    <row r="293" spans="1:26" x14ac:dyDescent="0.3">
      <c r="A293" t="s">
        <v>1357</v>
      </c>
      <c r="B293" t="s">
        <v>86</v>
      </c>
      <c r="C293" t="s">
        <v>87</v>
      </c>
      <c r="D293" t="s">
        <v>1090</v>
      </c>
      <c r="E293" t="s">
        <v>177</v>
      </c>
      <c r="F293" t="s">
        <v>205</v>
      </c>
      <c r="G293" t="s">
        <v>350</v>
      </c>
      <c r="H293" t="s">
        <v>287</v>
      </c>
      <c r="I293">
        <v>3000</v>
      </c>
      <c r="J293">
        <v>2131</v>
      </c>
      <c r="K293" s="22">
        <v>45507</v>
      </c>
      <c r="L293" s="22">
        <v>45532</v>
      </c>
      <c r="M293" s="22"/>
      <c r="N293">
        <v>25</v>
      </c>
      <c r="O293">
        <v>0</v>
      </c>
      <c r="P293" t="s">
        <v>88</v>
      </c>
      <c r="Q293" t="s">
        <v>89</v>
      </c>
      <c r="R293">
        <v>150000</v>
      </c>
      <c r="S293" t="s">
        <v>206</v>
      </c>
      <c r="T293">
        <v>150</v>
      </c>
      <c r="U293" s="29">
        <f>tbl_Tasks_Clean[[#This Row],[Actual_Cost]]-tbl_Tasks_Clean[[#This Row],[Planned_Cost]]</f>
        <v>-869</v>
      </c>
      <c r="V293" s="30">
        <f>IFERROR(tbl_Tasks_Clean[[#This Row],[Cost_Variance]]/tbl_Tasks_Clean[[#This Row],[Planned_Cost]],0)</f>
        <v>-0.28966666666666668</v>
      </c>
      <c r="W293" t="str">
        <f>IF(AND(tbl_Tasks_Clean[[#This Row],[Status]]="Completed",tbl_Tasks_Clean[[#This Row],[Delay_Days]]&lt;=0),"On Time",IF(AND(tbl_Tasks_Clean[[#This Row],[Status]]="Completed",tbl_Tasks_Clean[[#This Row],[Delay_Days]]&gt;0),"Late","N/A"))</f>
        <v>N/A</v>
      </c>
      <c r="X293" s="29" t="str" cm="1">
        <f t="array" ref="X293">_xlfn.IFS(tbl_Tasks_Clean[[#This Row],[Planned_Duration_Days]]&lt;=7,"Short (&lt;=7 days)",tbl_Tasks_Clean[[#This Row],[Planned_Duration_Days]]&lt;=20,"Medium (8-20 days)",TRUE,"Long (&gt;20 days)")</f>
        <v>Long (&gt;20 days)</v>
      </c>
      <c r="Y293" s="29" t="str">
        <f>INDEX(Projects!$D:$D,MATCH(tbl_Tasks_Clean[[#This Row],[Project_ID]],Projects!$A:$A,0))</f>
        <v>Youssef Adel</v>
      </c>
      <c r="Z293" s="29" t="str">
        <f>IF(tbl_Tasks_Clean[[#This Row],[Delay_Days]]&gt;0,"Delayed by "&amp;TEXT(tbl_Tasks_Clean[[#This Row],[Delay_Days]],"0")&amp;" days",IF(tbl_Tasks_Clean[[#This Row],[Delay_Days]]&lt;0,"Early by "&amp;TEXT(-tbl_Tasks_Clean[[#This Row],[Delay_Days]],"0")&amp;" days","On schedule"))</f>
        <v>On schedule</v>
      </c>
    </row>
    <row r="294" spans="1:26" x14ac:dyDescent="0.3">
      <c r="A294" t="s">
        <v>1360</v>
      </c>
      <c r="B294" t="s">
        <v>118</v>
      </c>
      <c r="C294" t="s">
        <v>119</v>
      </c>
      <c r="D294" t="s">
        <v>445</v>
      </c>
      <c r="E294" t="s">
        <v>164</v>
      </c>
      <c r="F294" t="s">
        <v>172</v>
      </c>
      <c r="G294" t="s">
        <v>281</v>
      </c>
      <c r="H294" t="s">
        <v>356</v>
      </c>
      <c r="I294">
        <v>3000</v>
      </c>
      <c r="J294">
        <v>2708</v>
      </c>
      <c r="K294" s="22">
        <v>45430</v>
      </c>
      <c r="L294" s="22">
        <v>45438</v>
      </c>
      <c r="M294" s="22">
        <v>45437</v>
      </c>
      <c r="N294">
        <v>8</v>
      </c>
      <c r="O294">
        <v>-1</v>
      </c>
      <c r="P294" t="s">
        <v>120</v>
      </c>
      <c r="Q294" t="s">
        <v>99</v>
      </c>
      <c r="R294">
        <v>100000</v>
      </c>
      <c r="S294" t="s">
        <v>164</v>
      </c>
      <c r="T294">
        <v>200</v>
      </c>
      <c r="U294" s="29">
        <f>tbl_Tasks_Clean[[#This Row],[Actual_Cost]]-tbl_Tasks_Clean[[#This Row],[Planned_Cost]]</f>
        <v>-292</v>
      </c>
      <c r="V294" s="30">
        <f>IFERROR(tbl_Tasks_Clean[[#This Row],[Cost_Variance]]/tbl_Tasks_Clean[[#This Row],[Planned_Cost]],0)</f>
        <v>-9.7333333333333327E-2</v>
      </c>
      <c r="W294" t="str">
        <f>IF(AND(tbl_Tasks_Clean[[#This Row],[Status]]="Completed",tbl_Tasks_Clean[[#This Row],[Delay_Days]]&lt;=0),"On Time",IF(AND(tbl_Tasks_Clean[[#This Row],[Status]]="Completed",tbl_Tasks_Clean[[#This Row],[Delay_Days]]&gt;0),"Late","N/A"))</f>
        <v>N/A</v>
      </c>
      <c r="X294" s="29" t="str" cm="1">
        <f t="array" ref="X294">_xlfn.IFS(tbl_Tasks_Clean[[#This Row],[Planned_Duration_Days]]&lt;=7,"Short (&lt;=7 days)",tbl_Tasks_Clean[[#This Row],[Planned_Duration_Days]]&lt;=20,"Medium (8-20 days)",TRUE,"Long (&gt;20 days)")</f>
        <v>Medium (8-20 days)</v>
      </c>
      <c r="Y294" s="29" t="str">
        <f>INDEX(Projects!$D:$D,MATCH(tbl_Tasks_Clean[[#This Row],[Project_ID]],Projects!$A:$A,0))</f>
        <v>Laila Samir</v>
      </c>
      <c r="Z294" s="29" t="str">
        <f>IF(tbl_Tasks_Clean[[#This Row],[Delay_Days]]&gt;0,"Delayed by "&amp;TEXT(tbl_Tasks_Clean[[#This Row],[Delay_Days]],"0")&amp;" days",IF(tbl_Tasks_Clean[[#This Row],[Delay_Days]]&lt;0,"Early by "&amp;TEXT(-tbl_Tasks_Clean[[#This Row],[Delay_Days]],"0")&amp;" days","On schedule"))</f>
        <v>Early by 1 days</v>
      </c>
    </row>
    <row r="295" spans="1:26" x14ac:dyDescent="0.3">
      <c r="A295" t="s">
        <v>1362</v>
      </c>
      <c r="B295" t="s">
        <v>91</v>
      </c>
      <c r="C295" t="s">
        <v>92</v>
      </c>
      <c r="D295" t="s">
        <v>1009</v>
      </c>
      <c r="E295" t="s">
        <v>150</v>
      </c>
      <c r="F295" t="s">
        <v>200</v>
      </c>
      <c r="G295" t="s">
        <v>350</v>
      </c>
      <c r="H295" t="s">
        <v>314</v>
      </c>
      <c r="I295">
        <v>1000</v>
      </c>
      <c r="J295">
        <v>842</v>
      </c>
      <c r="K295" s="22"/>
      <c r="L295" s="22"/>
      <c r="M295" s="22"/>
      <c r="O295">
        <v>0</v>
      </c>
      <c r="P295" t="s">
        <v>93</v>
      </c>
      <c r="Q295" t="s">
        <v>94</v>
      </c>
      <c r="R295">
        <v>100000</v>
      </c>
      <c r="S295" t="s">
        <v>197</v>
      </c>
      <c r="T295">
        <v>150</v>
      </c>
      <c r="U295" s="29">
        <f>tbl_Tasks_Clean[[#This Row],[Actual_Cost]]-tbl_Tasks_Clean[[#This Row],[Planned_Cost]]</f>
        <v>-158</v>
      </c>
      <c r="V295" s="30">
        <f>IFERROR(tbl_Tasks_Clean[[#This Row],[Cost_Variance]]/tbl_Tasks_Clean[[#This Row],[Planned_Cost]],0)</f>
        <v>-0.158</v>
      </c>
      <c r="W295" t="str">
        <f>IF(AND(tbl_Tasks_Clean[[#This Row],[Status]]="Completed",tbl_Tasks_Clean[[#This Row],[Delay_Days]]&lt;=0),"On Time",IF(AND(tbl_Tasks_Clean[[#This Row],[Status]]="Completed",tbl_Tasks_Clean[[#This Row],[Delay_Days]]&gt;0),"Late","N/A"))</f>
        <v>On Time</v>
      </c>
      <c r="X295" s="29" t="str" cm="1">
        <f t="array" ref="X295">_xlfn.IFS(tbl_Tasks_Clean[[#This Row],[Planned_Duration_Days]]&lt;=7,"Short (&lt;=7 days)",tbl_Tasks_Clean[[#This Row],[Planned_Duration_Days]]&lt;=20,"Medium (8-20 days)",TRUE,"Long (&gt;20 days)")</f>
        <v>Short (&lt;=7 days)</v>
      </c>
      <c r="Y295" s="29" t="str">
        <f>INDEX(Projects!$D:$D,MATCH(tbl_Tasks_Clean[[#This Row],[Project_ID]],Projects!$A:$A,0))</f>
        <v>Ahmed Nabil</v>
      </c>
      <c r="Z295" s="29" t="str">
        <f>IF(tbl_Tasks_Clean[[#This Row],[Delay_Days]]&gt;0,"Delayed by "&amp;TEXT(tbl_Tasks_Clean[[#This Row],[Delay_Days]],"0")&amp;" days",IF(tbl_Tasks_Clean[[#This Row],[Delay_Days]]&lt;0,"Early by "&amp;TEXT(-tbl_Tasks_Clean[[#This Row],[Delay_Days]],"0")&amp;" days","On schedule"))</f>
        <v>On schedule</v>
      </c>
    </row>
    <row r="296" spans="1:26" x14ac:dyDescent="0.3">
      <c r="A296" t="s">
        <v>1365</v>
      </c>
      <c r="B296" t="s">
        <v>133</v>
      </c>
      <c r="C296" t="s">
        <v>134</v>
      </c>
      <c r="D296" t="s">
        <v>235</v>
      </c>
      <c r="E296" t="s">
        <v>1435</v>
      </c>
      <c r="F296" t="s">
        <v>222</v>
      </c>
      <c r="G296" t="s">
        <v>281</v>
      </c>
      <c r="H296" t="s">
        <v>314</v>
      </c>
      <c r="I296">
        <v>2500</v>
      </c>
      <c r="J296">
        <v>2217</v>
      </c>
      <c r="K296" s="22"/>
      <c r="L296" s="22"/>
      <c r="M296" s="22"/>
      <c r="O296">
        <v>0</v>
      </c>
      <c r="P296" t="s">
        <v>111</v>
      </c>
      <c r="Q296" t="s">
        <v>116</v>
      </c>
      <c r="R296">
        <v>200000</v>
      </c>
      <c r="S296" t="s">
        <v>219</v>
      </c>
      <c r="T296">
        <v>250</v>
      </c>
      <c r="U296" s="29">
        <f>tbl_Tasks_Clean[[#This Row],[Actual_Cost]]-tbl_Tasks_Clean[[#This Row],[Planned_Cost]]</f>
        <v>-283</v>
      </c>
      <c r="V296" s="30">
        <f>IFERROR(tbl_Tasks_Clean[[#This Row],[Cost_Variance]]/tbl_Tasks_Clean[[#This Row],[Planned_Cost]],0)</f>
        <v>-0.1132</v>
      </c>
      <c r="W296" t="str">
        <f>IF(AND(tbl_Tasks_Clean[[#This Row],[Status]]="Completed",tbl_Tasks_Clean[[#This Row],[Delay_Days]]&lt;=0),"On Time",IF(AND(tbl_Tasks_Clean[[#This Row],[Status]]="Completed",tbl_Tasks_Clean[[#This Row],[Delay_Days]]&gt;0),"Late","N/A"))</f>
        <v>On Time</v>
      </c>
      <c r="X296" s="29" t="str" cm="1">
        <f t="array" ref="X296">_xlfn.IFS(tbl_Tasks_Clean[[#This Row],[Planned_Duration_Days]]&lt;=7,"Short (&lt;=7 days)",tbl_Tasks_Clean[[#This Row],[Planned_Duration_Days]]&lt;=20,"Medium (8-20 days)",TRUE,"Long (&gt;20 days)")</f>
        <v>Short (&lt;=7 days)</v>
      </c>
      <c r="Y296" s="29" t="str">
        <f>INDEX(Projects!$D:$D,MATCH(tbl_Tasks_Clean[[#This Row],[Project_ID]],Projects!$A:$A,0))</f>
        <v>Nourhan Tarek</v>
      </c>
      <c r="Z296" s="29" t="str">
        <f>IF(tbl_Tasks_Clean[[#This Row],[Delay_Days]]&gt;0,"Delayed by "&amp;TEXT(tbl_Tasks_Clean[[#This Row],[Delay_Days]],"0")&amp;" days",IF(tbl_Tasks_Clean[[#This Row],[Delay_Days]]&lt;0,"Early by "&amp;TEXT(-tbl_Tasks_Clean[[#This Row],[Delay_Days]],"0")&amp;" days","On schedule"))</f>
        <v>On schedule</v>
      </c>
    </row>
    <row r="297" spans="1:26" x14ac:dyDescent="0.3">
      <c r="A297" t="s">
        <v>1369</v>
      </c>
      <c r="B297" t="s">
        <v>96</v>
      </c>
      <c r="C297" t="s">
        <v>97</v>
      </c>
      <c r="D297" t="s">
        <v>344</v>
      </c>
      <c r="E297" t="s">
        <v>164</v>
      </c>
      <c r="F297" t="s">
        <v>190</v>
      </c>
      <c r="G297" t="s">
        <v>350</v>
      </c>
      <c r="H297" t="s">
        <v>287</v>
      </c>
      <c r="I297">
        <v>10000</v>
      </c>
      <c r="J297">
        <v>6559</v>
      </c>
      <c r="K297" s="22">
        <v>45583</v>
      </c>
      <c r="L297" s="22">
        <v>45610</v>
      </c>
      <c r="M297" s="22"/>
      <c r="N297">
        <v>27</v>
      </c>
      <c r="O297">
        <v>0</v>
      </c>
      <c r="P297" t="s">
        <v>98</v>
      </c>
      <c r="Q297" t="s">
        <v>99</v>
      </c>
      <c r="R297">
        <v>75000</v>
      </c>
      <c r="S297" t="s">
        <v>187</v>
      </c>
      <c r="T297">
        <v>280</v>
      </c>
      <c r="U297" s="29">
        <f>tbl_Tasks_Clean[[#This Row],[Actual_Cost]]-tbl_Tasks_Clean[[#This Row],[Planned_Cost]]</f>
        <v>-3441</v>
      </c>
      <c r="V297" s="30">
        <f>IFERROR(tbl_Tasks_Clean[[#This Row],[Cost_Variance]]/tbl_Tasks_Clean[[#This Row],[Planned_Cost]],0)</f>
        <v>-0.34410000000000002</v>
      </c>
      <c r="W297" t="str">
        <f>IF(AND(tbl_Tasks_Clean[[#This Row],[Status]]="Completed",tbl_Tasks_Clean[[#This Row],[Delay_Days]]&lt;=0),"On Time",IF(AND(tbl_Tasks_Clean[[#This Row],[Status]]="Completed",tbl_Tasks_Clean[[#This Row],[Delay_Days]]&gt;0),"Late","N/A"))</f>
        <v>N/A</v>
      </c>
      <c r="X297" s="29" t="str" cm="1">
        <f t="array" ref="X297">_xlfn.IFS(tbl_Tasks_Clean[[#This Row],[Planned_Duration_Days]]&lt;=7,"Short (&lt;=7 days)",tbl_Tasks_Clean[[#This Row],[Planned_Duration_Days]]&lt;=20,"Medium (8-20 days)",TRUE,"Long (&gt;20 days)")</f>
        <v>Long (&gt;20 days)</v>
      </c>
      <c r="Y297" s="29" t="str">
        <f>INDEX(Projects!$D:$D,MATCH(tbl_Tasks_Clean[[#This Row],[Project_ID]],Projects!$A:$A,0))</f>
        <v>Laila Samir</v>
      </c>
      <c r="Z297" s="29" t="str">
        <f>IF(tbl_Tasks_Clean[[#This Row],[Delay_Days]]&gt;0,"Delayed by "&amp;TEXT(tbl_Tasks_Clean[[#This Row],[Delay_Days]],"0")&amp;" days",IF(tbl_Tasks_Clean[[#This Row],[Delay_Days]]&lt;0,"Early by "&amp;TEXT(-tbl_Tasks_Clean[[#This Row],[Delay_Days]],"0")&amp;" days","On schedule"))</f>
        <v>On schedule</v>
      </c>
    </row>
    <row r="298" spans="1:26" x14ac:dyDescent="0.3">
      <c r="A298" t="s">
        <v>1373</v>
      </c>
      <c r="B298" t="s">
        <v>109</v>
      </c>
      <c r="C298" t="s">
        <v>110</v>
      </c>
      <c r="D298" t="s">
        <v>1374</v>
      </c>
      <c r="E298" t="s">
        <v>206</v>
      </c>
      <c r="F298" t="s">
        <v>1439</v>
      </c>
      <c r="G298" t="s">
        <v>281</v>
      </c>
      <c r="H298" t="s">
        <v>276</v>
      </c>
      <c r="I298">
        <v>10000</v>
      </c>
      <c r="J298">
        <v>0</v>
      </c>
      <c r="K298" s="22">
        <v>45484</v>
      </c>
      <c r="L298" s="22">
        <v>45492</v>
      </c>
      <c r="M298" s="22"/>
      <c r="N298">
        <v>8</v>
      </c>
      <c r="O298">
        <v>0</v>
      </c>
      <c r="P298" t="s">
        <v>111</v>
      </c>
      <c r="Q298" t="s">
        <v>99</v>
      </c>
      <c r="R298">
        <v>120000</v>
      </c>
      <c r="U298" s="29">
        <f>tbl_Tasks_Clean[[#This Row],[Actual_Cost]]-tbl_Tasks_Clean[[#This Row],[Planned_Cost]]</f>
        <v>-10000</v>
      </c>
      <c r="V298" s="30">
        <f>IFERROR(tbl_Tasks_Clean[[#This Row],[Cost_Variance]]/tbl_Tasks_Clean[[#This Row],[Planned_Cost]],0)</f>
        <v>-1</v>
      </c>
      <c r="W298" t="str">
        <f>IF(AND(tbl_Tasks_Clean[[#This Row],[Status]]="Completed",tbl_Tasks_Clean[[#This Row],[Delay_Days]]&lt;=0),"On Time",IF(AND(tbl_Tasks_Clean[[#This Row],[Status]]="Completed",tbl_Tasks_Clean[[#This Row],[Delay_Days]]&gt;0),"Late","N/A"))</f>
        <v>N/A</v>
      </c>
      <c r="X298" s="29" t="str" cm="1">
        <f t="array" ref="X298">_xlfn.IFS(tbl_Tasks_Clean[[#This Row],[Planned_Duration_Days]]&lt;=7,"Short (&lt;=7 days)",tbl_Tasks_Clean[[#This Row],[Planned_Duration_Days]]&lt;=20,"Medium (8-20 days)",TRUE,"Long (&gt;20 days)")</f>
        <v>Medium (8-20 days)</v>
      </c>
      <c r="Y298" s="29" t="str">
        <f>INDEX(Projects!$D:$D,MATCH(tbl_Tasks_Clean[[#This Row],[Project_ID]],Projects!$A:$A,0))</f>
        <v>Laila Samir</v>
      </c>
      <c r="Z298" s="29" t="str">
        <f>IF(tbl_Tasks_Clean[[#This Row],[Delay_Days]]&gt;0,"Delayed by "&amp;TEXT(tbl_Tasks_Clean[[#This Row],[Delay_Days]],"0")&amp;" days",IF(tbl_Tasks_Clean[[#This Row],[Delay_Days]]&lt;0,"Early by "&amp;TEXT(-tbl_Tasks_Clean[[#This Row],[Delay_Days]],"0")&amp;" days","On schedule"))</f>
        <v>On schedule</v>
      </c>
    </row>
    <row r="299" spans="1:26" x14ac:dyDescent="0.3">
      <c r="A299" t="s">
        <v>1377</v>
      </c>
      <c r="B299" t="s">
        <v>91</v>
      </c>
      <c r="C299" t="s">
        <v>92</v>
      </c>
      <c r="D299" t="s">
        <v>522</v>
      </c>
      <c r="E299" t="s">
        <v>164</v>
      </c>
      <c r="F299" t="s">
        <v>172</v>
      </c>
      <c r="G299" t="s">
        <v>281</v>
      </c>
      <c r="H299" t="s">
        <v>287</v>
      </c>
      <c r="I299">
        <v>6000</v>
      </c>
      <c r="J299">
        <v>1517</v>
      </c>
      <c r="K299" s="22">
        <v>45489</v>
      </c>
      <c r="L299" s="22">
        <v>45493</v>
      </c>
      <c r="M299" s="22"/>
      <c r="N299">
        <v>4</v>
      </c>
      <c r="O299">
        <v>0</v>
      </c>
      <c r="P299" t="s">
        <v>93</v>
      </c>
      <c r="Q299" t="s">
        <v>94</v>
      </c>
      <c r="R299">
        <v>100000</v>
      </c>
      <c r="S299" t="s">
        <v>164</v>
      </c>
      <c r="T299">
        <v>200</v>
      </c>
      <c r="U299" s="29">
        <f>tbl_Tasks_Clean[[#This Row],[Actual_Cost]]-tbl_Tasks_Clean[[#This Row],[Planned_Cost]]</f>
        <v>-4483</v>
      </c>
      <c r="V299" s="30">
        <f>IFERROR(tbl_Tasks_Clean[[#This Row],[Cost_Variance]]/tbl_Tasks_Clean[[#This Row],[Planned_Cost]],0)</f>
        <v>-0.74716666666666665</v>
      </c>
      <c r="W299" t="str">
        <f>IF(AND(tbl_Tasks_Clean[[#This Row],[Status]]="Completed",tbl_Tasks_Clean[[#This Row],[Delay_Days]]&lt;=0),"On Time",IF(AND(tbl_Tasks_Clean[[#This Row],[Status]]="Completed",tbl_Tasks_Clean[[#This Row],[Delay_Days]]&gt;0),"Late","N/A"))</f>
        <v>N/A</v>
      </c>
      <c r="X299" s="29" t="str" cm="1">
        <f t="array" ref="X299">_xlfn.IFS(tbl_Tasks_Clean[[#This Row],[Planned_Duration_Days]]&lt;=7,"Short (&lt;=7 days)",tbl_Tasks_Clean[[#This Row],[Planned_Duration_Days]]&lt;=20,"Medium (8-20 days)",TRUE,"Long (&gt;20 days)")</f>
        <v>Short (&lt;=7 days)</v>
      </c>
      <c r="Y299" s="29" t="str">
        <f>INDEX(Projects!$D:$D,MATCH(tbl_Tasks_Clean[[#This Row],[Project_ID]],Projects!$A:$A,0))</f>
        <v>Ahmed Nabil</v>
      </c>
      <c r="Z299" s="29" t="str">
        <f>IF(tbl_Tasks_Clean[[#This Row],[Delay_Days]]&gt;0,"Delayed by "&amp;TEXT(tbl_Tasks_Clean[[#This Row],[Delay_Days]],"0")&amp;" days",IF(tbl_Tasks_Clean[[#This Row],[Delay_Days]]&lt;0,"Early by "&amp;TEXT(-tbl_Tasks_Clean[[#This Row],[Delay_Days]],"0")&amp;" days","On schedule"))</f>
        <v>On schedule</v>
      </c>
    </row>
    <row r="300" spans="1:26" x14ac:dyDescent="0.3">
      <c r="A300" t="s">
        <v>1379</v>
      </c>
      <c r="B300" t="s">
        <v>122</v>
      </c>
      <c r="C300" t="s">
        <v>123</v>
      </c>
      <c r="D300" t="s">
        <v>268</v>
      </c>
      <c r="E300" t="s">
        <v>206</v>
      </c>
      <c r="F300" t="s">
        <v>158</v>
      </c>
      <c r="G300" t="s">
        <v>350</v>
      </c>
      <c r="H300" t="s">
        <v>287</v>
      </c>
      <c r="I300">
        <v>1500</v>
      </c>
      <c r="J300">
        <v>814</v>
      </c>
      <c r="K300" s="22">
        <v>45460</v>
      </c>
      <c r="L300" s="22">
        <v>45471</v>
      </c>
      <c r="M300" s="22"/>
      <c r="N300">
        <v>11</v>
      </c>
      <c r="O300">
        <v>0</v>
      </c>
      <c r="P300" t="s">
        <v>111</v>
      </c>
      <c r="Q300" t="s">
        <v>124</v>
      </c>
      <c r="R300">
        <v>150000</v>
      </c>
      <c r="S300" t="s">
        <v>150</v>
      </c>
      <c r="T300">
        <v>180</v>
      </c>
      <c r="U300" s="29">
        <f>tbl_Tasks_Clean[[#This Row],[Actual_Cost]]-tbl_Tasks_Clean[[#This Row],[Planned_Cost]]</f>
        <v>-686</v>
      </c>
      <c r="V300" s="30">
        <f>IFERROR(tbl_Tasks_Clean[[#This Row],[Cost_Variance]]/tbl_Tasks_Clean[[#This Row],[Planned_Cost]],0)</f>
        <v>-0.45733333333333331</v>
      </c>
      <c r="W300" t="str">
        <f>IF(AND(tbl_Tasks_Clean[[#This Row],[Status]]="Completed",tbl_Tasks_Clean[[#This Row],[Delay_Days]]&lt;=0),"On Time",IF(AND(tbl_Tasks_Clean[[#This Row],[Status]]="Completed",tbl_Tasks_Clean[[#This Row],[Delay_Days]]&gt;0),"Late","N/A"))</f>
        <v>N/A</v>
      </c>
      <c r="X300" s="29" t="str" cm="1">
        <f t="array" ref="X300">_xlfn.IFS(tbl_Tasks_Clean[[#This Row],[Planned_Duration_Days]]&lt;=7,"Short (&lt;=7 days)",tbl_Tasks_Clean[[#This Row],[Planned_Duration_Days]]&lt;=20,"Medium (8-20 days)",TRUE,"Long (&gt;20 days)")</f>
        <v>Medium (8-20 days)</v>
      </c>
      <c r="Y300" s="29" t="str">
        <f>INDEX(Projects!$D:$D,MATCH(tbl_Tasks_Clean[[#This Row],[Project_ID]],Projects!$A:$A,0))</f>
        <v>Sara Hassan</v>
      </c>
      <c r="Z300" s="29" t="str">
        <f>IF(tbl_Tasks_Clean[[#This Row],[Delay_Days]]&gt;0,"Delayed by "&amp;TEXT(tbl_Tasks_Clean[[#This Row],[Delay_Days]],"0")&amp;" days",IF(tbl_Tasks_Clean[[#This Row],[Delay_Days]]&lt;0,"Early by "&amp;TEXT(-tbl_Tasks_Clean[[#This Row],[Delay_Days]],"0")&amp;" days","On schedule"))</f>
        <v>On schedule</v>
      </c>
    </row>
    <row r="301" spans="1:26" x14ac:dyDescent="0.3">
      <c r="A301" t="s">
        <v>1381</v>
      </c>
      <c r="B301" t="s">
        <v>96</v>
      </c>
      <c r="C301" t="s">
        <v>97</v>
      </c>
      <c r="D301" t="s">
        <v>286</v>
      </c>
      <c r="E301" t="s">
        <v>206</v>
      </c>
      <c r="F301" t="s">
        <v>180</v>
      </c>
      <c r="G301" t="s">
        <v>350</v>
      </c>
      <c r="H301" t="s">
        <v>287</v>
      </c>
      <c r="I301">
        <v>2500</v>
      </c>
      <c r="J301">
        <v>1859</v>
      </c>
      <c r="K301" s="22">
        <v>45600</v>
      </c>
      <c r="L301" s="22">
        <v>45619</v>
      </c>
      <c r="M301" s="22"/>
      <c r="N301">
        <v>19</v>
      </c>
      <c r="O301">
        <v>0</v>
      </c>
      <c r="P301" t="s">
        <v>98</v>
      </c>
      <c r="Q301" t="s">
        <v>99</v>
      </c>
      <c r="R301">
        <v>75000</v>
      </c>
      <c r="S301" t="s">
        <v>177</v>
      </c>
      <c r="T301">
        <v>280</v>
      </c>
      <c r="U301" s="29">
        <f>tbl_Tasks_Clean[[#This Row],[Actual_Cost]]-tbl_Tasks_Clean[[#This Row],[Planned_Cost]]</f>
        <v>-641</v>
      </c>
      <c r="V301" s="30">
        <f>IFERROR(tbl_Tasks_Clean[[#This Row],[Cost_Variance]]/tbl_Tasks_Clean[[#This Row],[Planned_Cost]],0)</f>
        <v>-0.25640000000000002</v>
      </c>
      <c r="W301" t="str">
        <f>IF(AND(tbl_Tasks_Clean[[#This Row],[Status]]="Completed",tbl_Tasks_Clean[[#This Row],[Delay_Days]]&lt;=0),"On Time",IF(AND(tbl_Tasks_Clean[[#This Row],[Status]]="Completed",tbl_Tasks_Clean[[#This Row],[Delay_Days]]&gt;0),"Late","N/A"))</f>
        <v>N/A</v>
      </c>
      <c r="X301" s="29" t="str" cm="1">
        <f t="array" ref="X301">_xlfn.IFS(tbl_Tasks_Clean[[#This Row],[Planned_Duration_Days]]&lt;=7,"Short (&lt;=7 days)",tbl_Tasks_Clean[[#This Row],[Planned_Duration_Days]]&lt;=20,"Medium (8-20 days)",TRUE,"Long (&gt;20 days)")</f>
        <v>Medium (8-20 days)</v>
      </c>
      <c r="Y301" s="29" t="str">
        <f>INDEX(Projects!$D:$D,MATCH(tbl_Tasks_Clean[[#This Row],[Project_ID]],Projects!$A:$A,0))</f>
        <v>Laila Samir</v>
      </c>
      <c r="Z301" s="29" t="str">
        <f>IF(tbl_Tasks_Clean[[#This Row],[Delay_Days]]&gt;0,"Delayed by "&amp;TEXT(tbl_Tasks_Clean[[#This Row],[Delay_Days]],"0")&amp;" days",IF(tbl_Tasks_Clean[[#This Row],[Delay_Days]]&lt;0,"Early by "&amp;TEXT(-tbl_Tasks_Clean[[#This Row],[Delay_Days]],"0")&amp;" days","On schedule"))</f>
        <v>On schedule</v>
      </c>
    </row>
    <row r="302" spans="1:26" x14ac:dyDescent="0.3">
      <c r="A302" t="s">
        <v>1384</v>
      </c>
      <c r="B302" t="s">
        <v>140</v>
      </c>
      <c r="C302" t="s">
        <v>141</v>
      </c>
      <c r="D302" t="s">
        <v>1110</v>
      </c>
      <c r="E302" t="s">
        <v>164</v>
      </c>
      <c r="F302" t="s">
        <v>193</v>
      </c>
      <c r="G302" t="s">
        <v>350</v>
      </c>
      <c r="H302" t="s">
        <v>269</v>
      </c>
      <c r="I302">
        <v>1500</v>
      </c>
      <c r="J302">
        <v>2034</v>
      </c>
      <c r="K302" s="22">
        <v>45489</v>
      </c>
      <c r="L302" s="22">
        <v>45495</v>
      </c>
      <c r="M302" s="22">
        <v>45495</v>
      </c>
      <c r="N302">
        <v>6</v>
      </c>
      <c r="O302">
        <v>0</v>
      </c>
      <c r="P302" t="s">
        <v>111</v>
      </c>
      <c r="Q302" t="s">
        <v>116</v>
      </c>
      <c r="R302">
        <v>75000</v>
      </c>
      <c r="S302" t="s">
        <v>187</v>
      </c>
      <c r="T302">
        <v>300</v>
      </c>
      <c r="U302" s="29">
        <f>tbl_Tasks_Clean[[#This Row],[Actual_Cost]]-tbl_Tasks_Clean[[#This Row],[Planned_Cost]]</f>
        <v>534</v>
      </c>
      <c r="V302" s="30">
        <f>IFERROR(tbl_Tasks_Clean[[#This Row],[Cost_Variance]]/tbl_Tasks_Clean[[#This Row],[Planned_Cost]],0)</f>
        <v>0.35599999999999998</v>
      </c>
      <c r="W302" t="str">
        <f>IF(AND(tbl_Tasks_Clean[[#This Row],[Status]]="Completed",tbl_Tasks_Clean[[#This Row],[Delay_Days]]&lt;=0),"On Time",IF(AND(tbl_Tasks_Clean[[#This Row],[Status]]="Completed",tbl_Tasks_Clean[[#This Row],[Delay_Days]]&gt;0),"Late","N/A"))</f>
        <v>N/A</v>
      </c>
      <c r="X302" s="29" t="str" cm="1">
        <f t="array" ref="X302">_xlfn.IFS(tbl_Tasks_Clean[[#This Row],[Planned_Duration_Days]]&lt;=7,"Short (&lt;=7 days)",tbl_Tasks_Clean[[#This Row],[Planned_Duration_Days]]&lt;=20,"Medium (8-20 days)",TRUE,"Long (&gt;20 days)")</f>
        <v>Short (&lt;=7 days)</v>
      </c>
      <c r="Y302" s="29" t="str">
        <f>INDEX(Projects!$D:$D,MATCH(tbl_Tasks_Clean[[#This Row],[Project_ID]],Projects!$A:$A,0))</f>
        <v>Nourhan Tarek</v>
      </c>
      <c r="Z302" s="29" t="str">
        <f>IF(tbl_Tasks_Clean[[#This Row],[Delay_Days]]&gt;0,"Delayed by "&amp;TEXT(tbl_Tasks_Clean[[#This Row],[Delay_Days]],"0")&amp;" days",IF(tbl_Tasks_Clean[[#This Row],[Delay_Days]]&lt;0,"Early by "&amp;TEXT(-tbl_Tasks_Clean[[#This Row],[Delay_Days]],"0")&amp;" days","On schedule"))</f>
        <v>On schedule</v>
      </c>
    </row>
    <row r="303" spans="1:26" x14ac:dyDescent="0.3">
      <c r="A303" t="s">
        <v>1387</v>
      </c>
      <c r="B303" t="s">
        <v>129</v>
      </c>
      <c r="C303" t="s">
        <v>130</v>
      </c>
      <c r="D303" t="s">
        <v>578</v>
      </c>
      <c r="E303" t="s">
        <v>1435</v>
      </c>
      <c r="F303" t="s">
        <v>163</v>
      </c>
      <c r="G303" t="s">
        <v>281</v>
      </c>
      <c r="H303" t="s">
        <v>314</v>
      </c>
      <c r="I303">
        <v>1000</v>
      </c>
      <c r="J303">
        <v>1387</v>
      </c>
      <c r="K303" s="22">
        <v>45343</v>
      </c>
      <c r="L303" s="22">
        <v>45350</v>
      </c>
      <c r="M303" s="22">
        <v>45352</v>
      </c>
      <c r="N303">
        <v>7</v>
      </c>
      <c r="O303">
        <v>2</v>
      </c>
      <c r="P303" t="s">
        <v>131</v>
      </c>
      <c r="Q303" t="s">
        <v>94</v>
      </c>
      <c r="R303">
        <v>250000</v>
      </c>
      <c r="S303" t="s">
        <v>164</v>
      </c>
      <c r="T303">
        <v>180</v>
      </c>
      <c r="U303" s="29">
        <f>tbl_Tasks_Clean[[#This Row],[Actual_Cost]]-tbl_Tasks_Clean[[#This Row],[Planned_Cost]]</f>
        <v>387</v>
      </c>
      <c r="V303" s="30">
        <f>IFERROR(tbl_Tasks_Clean[[#This Row],[Cost_Variance]]/tbl_Tasks_Clean[[#This Row],[Planned_Cost]],0)</f>
        <v>0.38700000000000001</v>
      </c>
      <c r="W303" t="str">
        <f>IF(AND(tbl_Tasks_Clean[[#This Row],[Status]]="Completed",tbl_Tasks_Clean[[#This Row],[Delay_Days]]&lt;=0),"On Time",IF(AND(tbl_Tasks_Clean[[#This Row],[Status]]="Completed",tbl_Tasks_Clean[[#This Row],[Delay_Days]]&gt;0),"Late","N/A"))</f>
        <v>Late</v>
      </c>
      <c r="X303" s="29" t="str" cm="1">
        <f t="array" ref="X303">_xlfn.IFS(tbl_Tasks_Clean[[#This Row],[Planned_Duration_Days]]&lt;=7,"Short (&lt;=7 days)",tbl_Tasks_Clean[[#This Row],[Planned_Duration_Days]]&lt;=20,"Medium (8-20 days)",TRUE,"Long (&gt;20 days)")</f>
        <v>Short (&lt;=7 days)</v>
      </c>
      <c r="Y303" s="29" t="str">
        <f>INDEX(Projects!$D:$D,MATCH(tbl_Tasks_Clean[[#This Row],[Project_ID]],Projects!$A:$A,0))</f>
        <v>Ahmed Nabil</v>
      </c>
      <c r="Z303" s="29" t="str">
        <f>IF(tbl_Tasks_Clean[[#This Row],[Delay_Days]]&gt;0,"Delayed by "&amp;TEXT(tbl_Tasks_Clean[[#This Row],[Delay_Days]],"0")&amp;" days",IF(tbl_Tasks_Clean[[#This Row],[Delay_Days]]&lt;0,"Early by "&amp;TEXT(-tbl_Tasks_Clean[[#This Row],[Delay_Days]],"0")&amp;" days","On schedule"))</f>
        <v>Delayed by 2 days</v>
      </c>
    </row>
    <row r="304" spans="1:26" x14ac:dyDescent="0.3">
      <c r="A304" t="s">
        <v>1389</v>
      </c>
      <c r="B304" t="s">
        <v>140</v>
      </c>
      <c r="C304" t="s">
        <v>141</v>
      </c>
      <c r="D304" t="s">
        <v>1390</v>
      </c>
      <c r="E304" t="s">
        <v>197</v>
      </c>
      <c r="F304" t="s">
        <v>214</v>
      </c>
      <c r="G304" t="s">
        <v>250</v>
      </c>
      <c r="H304" t="s">
        <v>314</v>
      </c>
      <c r="I304">
        <v>8000</v>
      </c>
      <c r="J304">
        <v>8176</v>
      </c>
      <c r="K304" s="22">
        <v>45505</v>
      </c>
      <c r="L304" s="22">
        <v>45511</v>
      </c>
      <c r="M304" s="22">
        <v>45513</v>
      </c>
      <c r="N304">
        <v>6</v>
      </c>
      <c r="O304">
        <v>2</v>
      </c>
      <c r="P304" t="s">
        <v>111</v>
      </c>
      <c r="Q304" t="s">
        <v>116</v>
      </c>
      <c r="R304">
        <v>75000</v>
      </c>
      <c r="S304" t="s">
        <v>206</v>
      </c>
      <c r="T304">
        <v>180</v>
      </c>
      <c r="U304" s="29">
        <f>tbl_Tasks_Clean[[#This Row],[Actual_Cost]]-tbl_Tasks_Clean[[#This Row],[Planned_Cost]]</f>
        <v>176</v>
      </c>
      <c r="V304" s="30">
        <f>IFERROR(tbl_Tasks_Clean[[#This Row],[Cost_Variance]]/tbl_Tasks_Clean[[#This Row],[Planned_Cost]],0)</f>
        <v>2.1999999999999999E-2</v>
      </c>
      <c r="W304" t="str">
        <f>IF(AND(tbl_Tasks_Clean[[#This Row],[Status]]="Completed",tbl_Tasks_Clean[[#This Row],[Delay_Days]]&lt;=0),"On Time",IF(AND(tbl_Tasks_Clean[[#This Row],[Status]]="Completed",tbl_Tasks_Clean[[#This Row],[Delay_Days]]&gt;0),"Late","N/A"))</f>
        <v>Late</v>
      </c>
      <c r="X304" s="29" t="str" cm="1">
        <f t="array" ref="X304">_xlfn.IFS(tbl_Tasks_Clean[[#This Row],[Planned_Duration_Days]]&lt;=7,"Short (&lt;=7 days)",tbl_Tasks_Clean[[#This Row],[Planned_Duration_Days]]&lt;=20,"Medium (8-20 days)",TRUE,"Long (&gt;20 days)")</f>
        <v>Short (&lt;=7 days)</v>
      </c>
      <c r="Y304" s="29" t="str">
        <f>INDEX(Projects!$D:$D,MATCH(tbl_Tasks_Clean[[#This Row],[Project_ID]],Projects!$A:$A,0))</f>
        <v>Nourhan Tarek</v>
      </c>
      <c r="Z304" s="29" t="str">
        <f>IF(tbl_Tasks_Clean[[#This Row],[Delay_Days]]&gt;0,"Delayed by "&amp;TEXT(tbl_Tasks_Clean[[#This Row],[Delay_Days]],"0")&amp;" days",IF(tbl_Tasks_Clean[[#This Row],[Delay_Days]]&lt;0,"Early by "&amp;TEXT(-tbl_Tasks_Clean[[#This Row],[Delay_Days]],"0")&amp;" days","On schedule"))</f>
        <v>Delayed by 2 days</v>
      </c>
    </row>
    <row r="305" spans="1:26" x14ac:dyDescent="0.3">
      <c r="A305" t="s">
        <v>1393</v>
      </c>
      <c r="B305" t="s">
        <v>86</v>
      </c>
      <c r="C305" t="s">
        <v>87</v>
      </c>
      <c r="D305" t="s">
        <v>1394</v>
      </c>
      <c r="E305" t="s">
        <v>164</v>
      </c>
      <c r="F305" t="s">
        <v>214</v>
      </c>
      <c r="G305" t="s">
        <v>350</v>
      </c>
      <c r="H305" t="s">
        <v>314</v>
      </c>
      <c r="I305">
        <v>2500</v>
      </c>
      <c r="J305">
        <v>0</v>
      </c>
      <c r="K305" s="22">
        <v>45508</v>
      </c>
      <c r="L305" s="22">
        <v>45535</v>
      </c>
      <c r="M305" s="22">
        <v>45535</v>
      </c>
      <c r="N305">
        <v>27</v>
      </c>
      <c r="O305">
        <v>0</v>
      </c>
      <c r="P305" t="s">
        <v>88</v>
      </c>
      <c r="Q305" t="s">
        <v>89</v>
      </c>
      <c r="R305">
        <v>150000</v>
      </c>
      <c r="S305" t="s">
        <v>206</v>
      </c>
      <c r="T305">
        <v>180</v>
      </c>
      <c r="U305" s="29">
        <f>tbl_Tasks_Clean[[#This Row],[Actual_Cost]]-tbl_Tasks_Clean[[#This Row],[Planned_Cost]]</f>
        <v>-2500</v>
      </c>
      <c r="V305" s="30">
        <f>IFERROR(tbl_Tasks_Clean[[#This Row],[Cost_Variance]]/tbl_Tasks_Clean[[#This Row],[Planned_Cost]],0)</f>
        <v>-1</v>
      </c>
      <c r="W305" t="str">
        <f>IF(AND(tbl_Tasks_Clean[[#This Row],[Status]]="Completed",tbl_Tasks_Clean[[#This Row],[Delay_Days]]&lt;=0),"On Time",IF(AND(tbl_Tasks_Clean[[#This Row],[Status]]="Completed",tbl_Tasks_Clean[[#This Row],[Delay_Days]]&gt;0),"Late","N/A"))</f>
        <v>On Time</v>
      </c>
      <c r="X305" s="29" t="str" cm="1">
        <f t="array" ref="X305">_xlfn.IFS(tbl_Tasks_Clean[[#This Row],[Planned_Duration_Days]]&lt;=7,"Short (&lt;=7 days)",tbl_Tasks_Clean[[#This Row],[Planned_Duration_Days]]&lt;=20,"Medium (8-20 days)",TRUE,"Long (&gt;20 days)")</f>
        <v>Long (&gt;20 days)</v>
      </c>
      <c r="Y305" s="29" t="str">
        <f>INDEX(Projects!$D:$D,MATCH(tbl_Tasks_Clean[[#This Row],[Project_ID]],Projects!$A:$A,0))</f>
        <v>Youssef Adel</v>
      </c>
      <c r="Z305" s="29" t="str">
        <f>IF(tbl_Tasks_Clean[[#This Row],[Delay_Days]]&gt;0,"Delayed by "&amp;TEXT(tbl_Tasks_Clean[[#This Row],[Delay_Days]],"0")&amp;" days",IF(tbl_Tasks_Clean[[#This Row],[Delay_Days]]&lt;0,"Early by "&amp;TEXT(-tbl_Tasks_Clean[[#This Row],[Delay_Days]],"0")&amp;" days","On schedule"))</f>
        <v>On schedule</v>
      </c>
    </row>
    <row r="306" spans="1:26" x14ac:dyDescent="0.3">
      <c r="A306" t="s">
        <v>1396</v>
      </c>
      <c r="B306" t="s">
        <v>81</v>
      </c>
      <c r="C306" t="s">
        <v>82</v>
      </c>
      <c r="D306" t="s">
        <v>1397</v>
      </c>
      <c r="E306" t="s">
        <v>1435</v>
      </c>
      <c r="F306" t="s">
        <v>169</v>
      </c>
      <c r="G306" t="s">
        <v>250</v>
      </c>
      <c r="H306" t="s">
        <v>287</v>
      </c>
      <c r="I306">
        <v>2000</v>
      </c>
      <c r="J306">
        <v>734</v>
      </c>
      <c r="K306" s="22">
        <v>45490</v>
      </c>
      <c r="L306" s="22">
        <v>45506</v>
      </c>
      <c r="M306" s="22"/>
      <c r="N306">
        <v>16</v>
      </c>
      <c r="O306">
        <v>0</v>
      </c>
      <c r="P306" t="s">
        <v>83</v>
      </c>
      <c r="Q306" t="s">
        <v>84</v>
      </c>
      <c r="R306">
        <v>75000</v>
      </c>
      <c r="S306" t="s">
        <v>164</v>
      </c>
      <c r="T306">
        <v>200</v>
      </c>
      <c r="U306" s="29">
        <f>tbl_Tasks_Clean[[#This Row],[Actual_Cost]]-tbl_Tasks_Clean[[#This Row],[Planned_Cost]]</f>
        <v>-1266</v>
      </c>
      <c r="V306" s="30">
        <f>IFERROR(tbl_Tasks_Clean[[#This Row],[Cost_Variance]]/tbl_Tasks_Clean[[#This Row],[Planned_Cost]],0)</f>
        <v>-0.63300000000000001</v>
      </c>
      <c r="W306" t="str">
        <f>IF(AND(tbl_Tasks_Clean[[#This Row],[Status]]="Completed",tbl_Tasks_Clean[[#This Row],[Delay_Days]]&lt;=0),"On Time",IF(AND(tbl_Tasks_Clean[[#This Row],[Status]]="Completed",tbl_Tasks_Clean[[#This Row],[Delay_Days]]&gt;0),"Late","N/A"))</f>
        <v>N/A</v>
      </c>
      <c r="X306" s="29" t="str" cm="1">
        <f t="array" ref="X306">_xlfn.IFS(tbl_Tasks_Clean[[#This Row],[Planned_Duration_Days]]&lt;=7,"Short (&lt;=7 days)",tbl_Tasks_Clean[[#This Row],[Planned_Duration_Days]]&lt;=20,"Medium (8-20 days)",TRUE,"Long (&gt;20 days)")</f>
        <v>Medium (8-20 days)</v>
      </c>
      <c r="Y306" s="29" t="str">
        <f>INDEX(Projects!$D:$D,MATCH(tbl_Tasks_Clean[[#This Row],[Project_ID]],Projects!$A:$A,0))</f>
        <v>Mona Farid</v>
      </c>
      <c r="Z306" s="29" t="str">
        <f>IF(tbl_Tasks_Clean[[#This Row],[Delay_Days]]&gt;0,"Delayed by "&amp;TEXT(tbl_Tasks_Clean[[#This Row],[Delay_Days]],"0")&amp;" days",IF(tbl_Tasks_Clean[[#This Row],[Delay_Days]]&lt;0,"Early by "&amp;TEXT(-tbl_Tasks_Clean[[#This Row],[Delay_Days]],"0")&amp;" days","On schedule"))</f>
        <v>On schedule</v>
      </c>
    </row>
    <row r="307" spans="1:26" x14ac:dyDescent="0.3">
      <c r="A307" t="s">
        <v>1400</v>
      </c>
      <c r="B307" t="s">
        <v>105</v>
      </c>
      <c r="C307" t="s">
        <v>106</v>
      </c>
      <c r="D307" t="s">
        <v>1023</v>
      </c>
      <c r="E307" t="s">
        <v>150</v>
      </c>
      <c r="F307" t="s">
        <v>218</v>
      </c>
      <c r="G307" t="s">
        <v>350</v>
      </c>
      <c r="H307" t="s">
        <v>430</v>
      </c>
      <c r="I307">
        <v>2500</v>
      </c>
      <c r="J307">
        <v>0</v>
      </c>
      <c r="K307" s="22">
        <v>45468</v>
      </c>
      <c r="L307" s="22">
        <v>45486</v>
      </c>
      <c r="M307" s="22"/>
      <c r="N307">
        <v>18</v>
      </c>
      <c r="O307">
        <v>0</v>
      </c>
      <c r="P307" t="s">
        <v>107</v>
      </c>
      <c r="Q307" t="s">
        <v>84</v>
      </c>
      <c r="R307">
        <v>120000</v>
      </c>
      <c r="S307" t="s">
        <v>219</v>
      </c>
      <c r="T307">
        <v>250</v>
      </c>
      <c r="U307" s="29">
        <f>tbl_Tasks_Clean[[#This Row],[Actual_Cost]]-tbl_Tasks_Clean[[#This Row],[Planned_Cost]]</f>
        <v>-2500</v>
      </c>
      <c r="V307" s="30">
        <f>IFERROR(tbl_Tasks_Clean[[#This Row],[Cost_Variance]]/tbl_Tasks_Clean[[#This Row],[Planned_Cost]],0)</f>
        <v>-1</v>
      </c>
      <c r="W307" t="str">
        <f>IF(AND(tbl_Tasks_Clean[[#This Row],[Status]]="Completed",tbl_Tasks_Clean[[#This Row],[Delay_Days]]&lt;=0),"On Time",IF(AND(tbl_Tasks_Clean[[#This Row],[Status]]="Completed",tbl_Tasks_Clean[[#This Row],[Delay_Days]]&gt;0),"Late","N/A"))</f>
        <v>N/A</v>
      </c>
      <c r="X307" s="29" t="str" cm="1">
        <f t="array" ref="X307">_xlfn.IFS(tbl_Tasks_Clean[[#This Row],[Planned_Duration_Days]]&lt;=7,"Short (&lt;=7 days)",tbl_Tasks_Clean[[#This Row],[Planned_Duration_Days]]&lt;=20,"Medium (8-20 days)",TRUE,"Long (&gt;20 days)")</f>
        <v>Medium (8-20 days)</v>
      </c>
      <c r="Y307" s="29" t="str">
        <f>INDEX(Projects!$D:$D,MATCH(tbl_Tasks_Clean[[#This Row],[Project_ID]],Projects!$A:$A,0))</f>
        <v>Mona Farid</v>
      </c>
      <c r="Z307" s="29" t="str">
        <f>IF(tbl_Tasks_Clean[[#This Row],[Delay_Days]]&gt;0,"Delayed by "&amp;TEXT(tbl_Tasks_Clean[[#This Row],[Delay_Days]],"0")&amp;" days",IF(tbl_Tasks_Clean[[#This Row],[Delay_Days]]&lt;0,"Early by "&amp;TEXT(-tbl_Tasks_Clean[[#This Row],[Delay_Days]],"0")&amp;" days","On schedule"))</f>
        <v>On schedule</v>
      </c>
    </row>
    <row r="308" spans="1:26" x14ac:dyDescent="0.3">
      <c r="A308" t="s">
        <v>1401</v>
      </c>
      <c r="B308" t="s">
        <v>122</v>
      </c>
      <c r="C308" t="s">
        <v>123</v>
      </c>
      <c r="D308" t="s">
        <v>1402</v>
      </c>
      <c r="E308" t="s">
        <v>1435</v>
      </c>
      <c r="F308" t="s">
        <v>176</v>
      </c>
      <c r="G308" t="s">
        <v>281</v>
      </c>
      <c r="H308" t="s">
        <v>314</v>
      </c>
      <c r="I308">
        <v>3000</v>
      </c>
      <c r="J308">
        <v>2478</v>
      </c>
      <c r="K308" s="22">
        <v>45507</v>
      </c>
      <c r="L308" s="22">
        <v>45520</v>
      </c>
      <c r="M308" s="22">
        <v>45520</v>
      </c>
      <c r="N308">
        <v>13</v>
      </c>
      <c r="O308">
        <v>0</v>
      </c>
      <c r="P308" t="s">
        <v>111</v>
      </c>
      <c r="Q308" t="s">
        <v>124</v>
      </c>
      <c r="R308">
        <v>150000</v>
      </c>
      <c r="S308" t="s">
        <v>177</v>
      </c>
      <c r="T308">
        <v>250</v>
      </c>
      <c r="U308" s="29">
        <f>tbl_Tasks_Clean[[#This Row],[Actual_Cost]]-tbl_Tasks_Clean[[#This Row],[Planned_Cost]]</f>
        <v>-522</v>
      </c>
      <c r="V308" s="30">
        <f>IFERROR(tbl_Tasks_Clean[[#This Row],[Cost_Variance]]/tbl_Tasks_Clean[[#This Row],[Planned_Cost]],0)</f>
        <v>-0.17399999999999999</v>
      </c>
      <c r="W308" t="str">
        <f>IF(AND(tbl_Tasks_Clean[[#This Row],[Status]]="Completed",tbl_Tasks_Clean[[#This Row],[Delay_Days]]&lt;=0),"On Time",IF(AND(tbl_Tasks_Clean[[#This Row],[Status]]="Completed",tbl_Tasks_Clean[[#This Row],[Delay_Days]]&gt;0),"Late","N/A"))</f>
        <v>On Time</v>
      </c>
      <c r="X308" s="29" t="str" cm="1">
        <f t="array" ref="X308">_xlfn.IFS(tbl_Tasks_Clean[[#This Row],[Planned_Duration_Days]]&lt;=7,"Short (&lt;=7 days)",tbl_Tasks_Clean[[#This Row],[Planned_Duration_Days]]&lt;=20,"Medium (8-20 days)",TRUE,"Long (&gt;20 days)")</f>
        <v>Medium (8-20 days)</v>
      </c>
      <c r="Y308" s="29" t="str">
        <f>INDEX(Projects!$D:$D,MATCH(tbl_Tasks_Clean[[#This Row],[Project_ID]],Projects!$A:$A,0))</f>
        <v>Sara Hassan</v>
      </c>
      <c r="Z308" s="29" t="str">
        <f>IF(tbl_Tasks_Clean[[#This Row],[Delay_Days]]&gt;0,"Delayed by "&amp;TEXT(tbl_Tasks_Clean[[#This Row],[Delay_Days]],"0")&amp;" days",IF(tbl_Tasks_Clean[[#This Row],[Delay_Days]]&lt;0,"Early by "&amp;TEXT(-tbl_Tasks_Clean[[#This Row],[Delay_Days]],"0")&amp;" days","On schedule"))</f>
        <v>On schedule</v>
      </c>
    </row>
    <row r="309" spans="1:26" x14ac:dyDescent="0.3">
      <c r="A309" t="s">
        <v>1404</v>
      </c>
      <c r="B309" t="s">
        <v>91</v>
      </c>
      <c r="C309" t="s">
        <v>92</v>
      </c>
      <c r="D309" t="s">
        <v>445</v>
      </c>
      <c r="E309" t="s">
        <v>150</v>
      </c>
      <c r="F309" t="s">
        <v>174</v>
      </c>
      <c r="G309" t="s">
        <v>281</v>
      </c>
      <c r="H309" t="s">
        <v>487</v>
      </c>
      <c r="I309">
        <v>6000</v>
      </c>
      <c r="J309">
        <v>8019</v>
      </c>
      <c r="K309" s="22">
        <v>45405</v>
      </c>
      <c r="L309" s="22">
        <v>45428</v>
      </c>
      <c r="M309" s="22">
        <v>45427</v>
      </c>
      <c r="N309">
        <v>23</v>
      </c>
      <c r="O309">
        <v>-1</v>
      </c>
      <c r="P309" t="s">
        <v>93</v>
      </c>
      <c r="Q309" t="s">
        <v>94</v>
      </c>
      <c r="R309">
        <v>100000</v>
      </c>
      <c r="S309" t="s">
        <v>164</v>
      </c>
      <c r="T309">
        <v>220</v>
      </c>
      <c r="U309" s="29">
        <f>tbl_Tasks_Clean[[#This Row],[Actual_Cost]]-tbl_Tasks_Clean[[#This Row],[Planned_Cost]]</f>
        <v>2019</v>
      </c>
      <c r="V309" s="30">
        <f>IFERROR(tbl_Tasks_Clean[[#This Row],[Cost_Variance]]/tbl_Tasks_Clean[[#This Row],[Planned_Cost]],0)</f>
        <v>0.33650000000000002</v>
      </c>
      <c r="W309" t="str">
        <f>IF(AND(tbl_Tasks_Clean[[#This Row],[Status]]="Completed",tbl_Tasks_Clean[[#This Row],[Delay_Days]]&lt;=0),"On Time",IF(AND(tbl_Tasks_Clean[[#This Row],[Status]]="Completed",tbl_Tasks_Clean[[#This Row],[Delay_Days]]&gt;0),"Late","N/A"))</f>
        <v>N/A</v>
      </c>
      <c r="X309" s="29" t="str" cm="1">
        <f t="array" ref="X309">_xlfn.IFS(tbl_Tasks_Clean[[#This Row],[Planned_Duration_Days]]&lt;=7,"Short (&lt;=7 days)",tbl_Tasks_Clean[[#This Row],[Planned_Duration_Days]]&lt;=20,"Medium (8-20 days)",TRUE,"Long (&gt;20 days)")</f>
        <v>Long (&gt;20 days)</v>
      </c>
      <c r="Y309" s="29" t="str">
        <f>INDEX(Projects!$D:$D,MATCH(tbl_Tasks_Clean[[#This Row],[Project_ID]],Projects!$A:$A,0))</f>
        <v>Ahmed Nabil</v>
      </c>
      <c r="Z309" s="29" t="str">
        <f>IF(tbl_Tasks_Clean[[#This Row],[Delay_Days]]&gt;0,"Delayed by "&amp;TEXT(tbl_Tasks_Clean[[#This Row],[Delay_Days]],"0")&amp;" days",IF(tbl_Tasks_Clean[[#This Row],[Delay_Days]]&lt;0,"Early by "&amp;TEXT(-tbl_Tasks_Clean[[#This Row],[Delay_Days]],"0")&amp;" days","On schedule"))</f>
        <v>Early by 1 days</v>
      </c>
    </row>
    <row r="310" spans="1:26" x14ac:dyDescent="0.3">
      <c r="A310" t="s">
        <v>1408</v>
      </c>
      <c r="B310" t="s">
        <v>140</v>
      </c>
      <c r="C310" t="s">
        <v>141</v>
      </c>
      <c r="D310" t="s">
        <v>686</v>
      </c>
      <c r="E310" t="s">
        <v>1435</v>
      </c>
      <c r="F310" t="s">
        <v>216</v>
      </c>
      <c r="G310" t="s">
        <v>250</v>
      </c>
      <c r="H310" t="s">
        <v>287</v>
      </c>
      <c r="I310">
        <v>2500</v>
      </c>
      <c r="J310">
        <v>1721</v>
      </c>
      <c r="K310" s="22">
        <v>45535</v>
      </c>
      <c r="L310" s="22">
        <v>45559</v>
      </c>
      <c r="M310" s="22"/>
      <c r="N310">
        <v>24</v>
      </c>
      <c r="O310">
        <v>0</v>
      </c>
      <c r="P310" t="s">
        <v>111</v>
      </c>
      <c r="Q310" t="s">
        <v>116</v>
      </c>
      <c r="R310">
        <v>75000</v>
      </c>
      <c r="S310" t="s">
        <v>206</v>
      </c>
      <c r="T310">
        <v>200</v>
      </c>
      <c r="U310" s="29">
        <f>tbl_Tasks_Clean[[#This Row],[Actual_Cost]]-tbl_Tasks_Clean[[#This Row],[Planned_Cost]]</f>
        <v>-779</v>
      </c>
      <c r="V310" s="30">
        <f>IFERROR(tbl_Tasks_Clean[[#This Row],[Cost_Variance]]/tbl_Tasks_Clean[[#This Row],[Planned_Cost]],0)</f>
        <v>-0.31159999999999999</v>
      </c>
      <c r="W310" t="str">
        <f>IF(AND(tbl_Tasks_Clean[[#This Row],[Status]]="Completed",tbl_Tasks_Clean[[#This Row],[Delay_Days]]&lt;=0),"On Time",IF(AND(tbl_Tasks_Clean[[#This Row],[Status]]="Completed",tbl_Tasks_Clean[[#This Row],[Delay_Days]]&gt;0),"Late","N/A"))</f>
        <v>N/A</v>
      </c>
      <c r="X310" s="29" t="str" cm="1">
        <f t="array" ref="X310">_xlfn.IFS(tbl_Tasks_Clean[[#This Row],[Planned_Duration_Days]]&lt;=7,"Short (&lt;=7 days)",tbl_Tasks_Clean[[#This Row],[Planned_Duration_Days]]&lt;=20,"Medium (8-20 days)",TRUE,"Long (&gt;20 days)")</f>
        <v>Long (&gt;20 days)</v>
      </c>
      <c r="Y310" s="29" t="str">
        <f>INDEX(Projects!$D:$D,MATCH(tbl_Tasks_Clean[[#This Row],[Project_ID]],Projects!$A:$A,0))</f>
        <v>Nourhan Tarek</v>
      </c>
      <c r="Z310" s="29" t="str">
        <f>IF(tbl_Tasks_Clean[[#This Row],[Delay_Days]]&gt;0,"Delayed by "&amp;TEXT(tbl_Tasks_Clean[[#This Row],[Delay_Days]],"0")&amp;" days",IF(tbl_Tasks_Clean[[#This Row],[Delay_Days]]&lt;0,"Early by "&amp;TEXT(-tbl_Tasks_Clean[[#This Row],[Delay_Days]],"0")&amp;" days","On schedule"))</f>
        <v>On schedule</v>
      </c>
    </row>
    <row r="311" spans="1:26" x14ac:dyDescent="0.3">
      <c r="A311" t="s">
        <v>1411</v>
      </c>
      <c r="B311" t="s">
        <v>109</v>
      </c>
      <c r="C311" t="s">
        <v>110</v>
      </c>
      <c r="D311" t="s">
        <v>1023</v>
      </c>
      <c r="E311" t="s">
        <v>177</v>
      </c>
      <c r="F311" t="s">
        <v>183</v>
      </c>
      <c r="G311" t="s">
        <v>250</v>
      </c>
      <c r="H311" t="s">
        <v>287</v>
      </c>
      <c r="I311">
        <v>10000</v>
      </c>
      <c r="J311">
        <v>6223</v>
      </c>
      <c r="K311" s="22"/>
      <c r="L311" s="22"/>
      <c r="M311" s="22"/>
      <c r="O311">
        <v>0</v>
      </c>
      <c r="P311" t="s">
        <v>111</v>
      </c>
      <c r="Q311" t="s">
        <v>99</v>
      </c>
      <c r="R311">
        <v>120000</v>
      </c>
      <c r="S311" t="s">
        <v>177</v>
      </c>
      <c r="T311">
        <v>220</v>
      </c>
      <c r="U311" s="29">
        <f>tbl_Tasks_Clean[[#This Row],[Actual_Cost]]-tbl_Tasks_Clean[[#This Row],[Planned_Cost]]</f>
        <v>-3777</v>
      </c>
      <c r="V311" s="30">
        <f>IFERROR(tbl_Tasks_Clean[[#This Row],[Cost_Variance]]/tbl_Tasks_Clean[[#This Row],[Planned_Cost]],0)</f>
        <v>-0.37769999999999998</v>
      </c>
      <c r="W311" t="str">
        <f>IF(AND(tbl_Tasks_Clean[[#This Row],[Status]]="Completed",tbl_Tasks_Clean[[#This Row],[Delay_Days]]&lt;=0),"On Time",IF(AND(tbl_Tasks_Clean[[#This Row],[Status]]="Completed",tbl_Tasks_Clean[[#This Row],[Delay_Days]]&gt;0),"Late","N/A"))</f>
        <v>N/A</v>
      </c>
      <c r="X311" s="29" t="str" cm="1">
        <f t="array" ref="X311">_xlfn.IFS(tbl_Tasks_Clean[[#This Row],[Planned_Duration_Days]]&lt;=7,"Short (&lt;=7 days)",tbl_Tasks_Clean[[#This Row],[Planned_Duration_Days]]&lt;=20,"Medium (8-20 days)",TRUE,"Long (&gt;20 days)")</f>
        <v>Short (&lt;=7 days)</v>
      </c>
      <c r="Y311" s="29" t="str">
        <f>INDEX(Projects!$D:$D,MATCH(tbl_Tasks_Clean[[#This Row],[Project_ID]],Projects!$A:$A,0))</f>
        <v>Laila Samir</v>
      </c>
      <c r="Z311" s="29" t="str">
        <f>IF(tbl_Tasks_Clean[[#This Row],[Delay_Days]]&gt;0,"Delayed by "&amp;TEXT(tbl_Tasks_Clean[[#This Row],[Delay_Days]],"0")&amp;" days",IF(tbl_Tasks_Clean[[#This Row],[Delay_Days]]&lt;0,"Early by "&amp;TEXT(-tbl_Tasks_Clean[[#This Row],[Delay_Days]],"0")&amp;" days","On schedule"))</f>
        <v>On schedule</v>
      </c>
    </row>
    <row r="312" spans="1:26" x14ac:dyDescent="0.3">
      <c r="A312" t="s">
        <v>1414</v>
      </c>
      <c r="B312" t="s">
        <v>96</v>
      </c>
      <c r="C312" t="s">
        <v>97</v>
      </c>
      <c r="D312" t="s">
        <v>1415</v>
      </c>
      <c r="E312" t="s">
        <v>197</v>
      </c>
      <c r="F312" t="s">
        <v>214</v>
      </c>
      <c r="G312" t="s">
        <v>250</v>
      </c>
      <c r="H312" t="s">
        <v>319</v>
      </c>
      <c r="I312">
        <v>5000</v>
      </c>
      <c r="J312">
        <v>1387</v>
      </c>
      <c r="K312" s="22">
        <v>45554</v>
      </c>
      <c r="L312" s="22">
        <v>45566</v>
      </c>
      <c r="M312" s="22"/>
      <c r="N312">
        <v>12</v>
      </c>
      <c r="O312">
        <v>0</v>
      </c>
      <c r="P312" t="s">
        <v>98</v>
      </c>
      <c r="Q312" t="s">
        <v>99</v>
      </c>
      <c r="R312">
        <v>75000</v>
      </c>
      <c r="S312" t="s">
        <v>206</v>
      </c>
      <c r="T312">
        <v>180</v>
      </c>
      <c r="U312" s="29">
        <f>tbl_Tasks_Clean[[#This Row],[Actual_Cost]]-tbl_Tasks_Clean[[#This Row],[Planned_Cost]]</f>
        <v>-3613</v>
      </c>
      <c r="V312" s="30">
        <f>IFERROR(tbl_Tasks_Clean[[#This Row],[Cost_Variance]]/tbl_Tasks_Clean[[#This Row],[Planned_Cost]],0)</f>
        <v>-0.72260000000000002</v>
      </c>
      <c r="W312" t="str">
        <f>IF(AND(tbl_Tasks_Clean[[#This Row],[Status]]="Completed",tbl_Tasks_Clean[[#This Row],[Delay_Days]]&lt;=0),"On Time",IF(AND(tbl_Tasks_Clean[[#This Row],[Status]]="Completed",tbl_Tasks_Clean[[#This Row],[Delay_Days]]&gt;0),"Late","N/A"))</f>
        <v>N/A</v>
      </c>
      <c r="X312" s="29" t="str" cm="1">
        <f t="array" ref="X312">_xlfn.IFS(tbl_Tasks_Clean[[#This Row],[Planned_Duration_Days]]&lt;=7,"Short (&lt;=7 days)",tbl_Tasks_Clean[[#This Row],[Planned_Duration_Days]]&lt;=20,"Medium (8-20 days)",TRUE,"Long (&gt;20 days)")</f>
        <v>Medium (8-20 days)</v>
      </c>
      <c r="Y312" s="29" t="str">
        <f>INDEX(Projects!$D:$D,MATCH(tbl_Tasks_Clean[[#This Row],[Project_ID]],Projects!$A:$A,0))</f>
        <v>Laila Samir</v>
      </c>
      <c r="Z312" s="29" t="str">
        <f>IF(tbl_Tasks_Clean[[#This Row],[Delay_Days]]&gt;0,"Delayed by "&amp;TEXT(tbl_Tasks_Clean[[#This Row],[Delay_Days]],"0")&amp;" days",IF(tbl_Tasks_Clean[[#This Row],[Delay_Days]]&lt;0,"Early by "&amp;TEXT(-tbl_Tasks_Clean[[#This Row],[Delay_Days]],"0")&amp;" days","On schedule"))</f>
        <v>On schedule</v>
      </c>
    </row>
    <row r="313" spans="1:26" x14ac:dyDescent="0.3">
      <c r="A313" t="s">
        <v>1418</v>
      </c>
      <c r="B313" t="s">
        <v>81</v>
      </c>
      <c r="C313" t="s">
        <v>82</v>
      </c>
      <c r="D313" t="s">
        <v>1419</v>
      </c>
      <c r="E313" t="s">
        <v>197</v>
      </c>
      <c r="F313" t="s">
        <v>212</v>
      </c>
      <c r="G313" t="s">
        <v>350</v>
      </c>
      <c r="H313" t="s">
        <v>430</v>
      </c>
      <c r="I313">
        <v>1500</v>
      </c>
      <c r="J313">
        <v>0</v>
      </c>
      <c r="K313" s="22"/>
      <c r="L313" s="22"/>
      <c r="M313" s="22"/>
      <c r="O313">
        <v>0</v>
      </c>
      <c r="P313" t="s">
        <v>83</v>
      </c>
      <c r="Q313" t="s">
        <v>84</v>
      </c>
      <c r="R313">
        <v>75000</v>
      </c>
      <c r="S313" t="s">
        <v>206</v>
      </c>
      <c r="T313">
        <v>180</v>
      </c>
      <c r="U313" s="29">
        <f>tbl_Tasks_Clean[[#This Row],[Actual_Cost]]-tbl_Tasks_Clean[[#This Row],[Planned_Cost]]</f>
        <v>-1500</v>
      </c>
      <c r="V313" s="30">
        <f>IFERROR(tbl_Tasks_Clean[[#This Row],[Cost_Variance]]/tbl_Tasks_Clean[[#This Row],[Planned_Cost]],0)</f>
        <v>-1</v>
      </c>
      <c r="W313" t="str">
        <f>IF(AND(tbl_Tasks_Clean[[#This Row],[Status]]="Completed",tbl_Tasks_Clean[[#This Row],[Delay_Days]]&lt;=0),"On Time",IF(AND(tbl_Tasks_Clean[[#This Row],[Status]]="Completed",tbl_Tasks_Clean[[#This Row],[Delay_Days]]&gt;0),"Late","N/A"))</f>
        <v>N/A</v>
      </c>
      <c r="X313" s="29" t="str" cm="1">
        <f t="array" ref="X313">_xlfn.IFS(tbl_Tasks_Clean[[#This Row],[Planned_Duration_Days]]&lt;=7,"Short (&lt;=7 days)",tbl_Tasks_Clean[[#This Row],[Planned_Duration_Days]]&lt;=20,"Medium (8-20 days)",TRUE,"Long (&gt;20 days)")</f>
        <v>Short (&lt;=7 days)</v>
      </c>
      <c r="Y313" s="29" t="str">
        <f>INDEX(Projects!$D:$D,MATCH(tbl_Tasks_Clean[[#This Row],[Project_ID]],Projects!$A:$A,0))</f>
        <v>Mona Farid</v>
      </c>
      <c r="Z313" s="29" t="str">
        <f>IF(tbl_Tasks_Clean[[#This Row],[Delay_Days]]&gt;0,"Delayed by "&amp;TEXT(tbl_Tasks_Clean[[#This Row],[Delay_Days]],"0")&amp;" days",IF(tbl_Tasks_Clean[[#This Row],[Delay_Days]]&lt;0,"Early by "&amp;TEXT(-tbl_Tasks_Clean[[#This Row],[Delay_Days]],"0")&amp;" days","On schedule"))</f>
        <v>On schedule</v>
      </c>
    </row>
    <row r="314" spans="1:26" x14ac:dyDescent="0.3">
      <c r="A314" t="s">
        <v>1422</v>
      </c>
      <c r="B314" t="s">
        <v>113</v>
      </c>
      <c r="C314" t="s">
        <v>114</v>
      </c>
      <c r="D314" t="s">
        <v>274</v>
      </c>
      <c r="E314" t="s">
        <v>177</v>
      </c>
      <c r="F314" t="s">
        <v>190</v>
      </c>
      <c r="G314" t="s">
        <v>250</v>
      </c>
      <c r="H314" t="s">
        <v>314</v>
      </c>
      <c r="I314">
        <v>4000</v>
      </c>
      <c r="J314">
        <v>3786</v>
      </c>
      <c r="K314" s="22">
        <v>45448</v>
      </c>
      <c r="L314" s="22">
        <v>45469</v>
      </c>
      <c r="M314" s="22">
        <v>45466</v>
      </c>
      <c r="N314">
        <v>21</v>
      </c>
      <c r="O314">
        <v>-3</v>
      </c>
      <c r="P314" t="s">
        <v>115</v>
      </c>
      <c r="Q314" t="s">
        <v>116</v>
      </c>
      <c r="R314">
        <v>300000</v>
      </c>
      <c r="S314" t="s">
        <v>187</v>
      </c>
      <c r="T314">
        <v>280</v>
      </c>
      <c r="U314" s="29">
        <f>tbl_Tasks_Clean[[#This Row],[Actual_Cost]]-tbl_Tasks_Clean[[#This Row],[Planned_Cost]]</f>
        <v>-214</v>
      </c>
      <c r="V314" s="30">
        <f>IFERROR(tbl_Tasks_Clean[[#This Row],[Cost_Variance]]/tbl_Tasks_Clean[[#This Row],[Planned_Cost]],0)</f>
        <v>-5.3499999999999999E-2</v>
      </c>
      <c r="W314" t="str">
        <f>IF(AND(tbl_Tasks_Clean[[#This Row],[Status]]="Completed",tbl_Tasks_Clean[[#This Row],[Delay_Days]]&lt;=0),"On Time",IF(AND(tbl_Tasks_Clean[[#This Row],[Status]]="Completed",tbl_Tasks_Clean[[#This Row],[Delay_Days]]&gt;0),"Late","N/A"))</f>
        <v>On Time</v>
      </c>
      <c r="X314" s="29" t="str" cm="1">
        <f t="array" ref="X314">_xlfn.IFS(tbl_Tasks_Clean[[#This Row],[Planned_Duration_Days]]&lt;=7,"Short (&lt;=7 days)",tbl_Tasks_Clean[[#This Row],[Planned_Duration_Days]]&lt;=20,"Medium (8-20 days)",TRUE,"Long (&gt;20 days)")</f>
        <v>Long (&gt;20 days)</v>
      </c>
      <c r="Y314" s="29" t="str">
        <f>INDEX(Projects!$D:$D,MATCH(tbl_Tasks_Clean[[#This Row],[Project_ID]],Projects!$A:$A,0))</f>
        <v>Nourhan Tarek</v>
      </c>
      <c r="Z314" s="29" t="str">
        <f>IF(tbl_Tasks_Clean[[#This Row],[Delay_Days]]&gt;0,"Delayed by "&amp;TEXT(tbl_Tasks_Clean[[#This Row],[Delay_Days]],"0")&amp;" days",IF(tbl_Tasks_Clean[[#This Row],[Delay_Days]]&lt;0,"Early by "&amp;TEXT(-tbl_Tasks_Clean[[#This Row],[Delay_Days]],"0")&amp;" days","On schedule"))</f>
        <v>Early by 3 days</v>
      </c>
    </row>
    <row r="315" spans="1:26" x14ac:dyDescent="0.3">
      <c r="A315" t="s">
        <v>1424</v>
      </c>
      <c r="B315" t="s">
        <v>126</v>
      </c>
      <c r="C315" t="s">
        <v>127</v>
      </c>
      <c r="D315" t="s">
        <v>1425</v>
      </c>
      <c r="E315" t="s">
        <v>187</v>
      </c>
      <c r="F315" t="s">
        <v>218</v>
      </c>
      <c r="G315" t="s">
        <v>350</v>
      </c>
      <c r="H315" t="s">
        <v>314</v>
      </c>
      <c r="I315">
        <v>8000</v>
      </c>
      <c r="J315">
        <v>7859</v>
      </c>
      <c r="K315" s="22">
        <v>45363</v>
      </c>
      <c r="L315" s="22">
        <v>45375</v>
      </c>
      <c r="M315" s="22">
        <v>45377</v>
      </c>
      <c r="N315">
        <v>12</v>
      </c>
      <c r="O315">
        <v>2</v>
      </c>
      <c r="P315" t="s">
        <v>128</v>
      </c>
      <c r="Q315" t="s">
        <v>94</v>
      </c>
      <c r="R315">
        <v>200000</v>
      </c>
      <c r="S315" t="s">
        <v>219</v>
      </c>
      <c r="T315">
        <v>250</v>
      </c>
      <c r="U315" s="29">
        <f>tbl_Tasks_Clean[[#This Row],[Actual_Cost]]-tbl_Tasks_Clean[[#This Row],[Planned_Cost]]</f>
        <v>-141</v>
      </c>
      <c r="V315" s="30">
        <f>IFERROR(tbl_Tasks_Clean[[#This Row],[Cost_Variance]]/tbl_Tasks_Clean[[#This Row],[Planned_Cost]],0)</f>
        <v>-1.7624999999999998E-2</v>
      </c>
      <c r="W315" t="str">
        <f>IF(AND(tbl_Tasks_Clean[[#This Row],[Status]]="Completed",tbl_Tasks_Clean[[#This Row],[Delay_Days]]&lt;=0),"On Time",IF(AND(tbl_Tasks_Clean[[#This Row],[Status]]="Completed",tbl_Tasks_Clean[[#This Row],[Delay_Days]]&gt;0),"Late","N/A"))</f>
        <v>Late</v>
      </c>
      <c r="X315" s="29" t="str" cm="1">
        <f t="array" ref="X315">_xlfn.IFS(tbl_Tasks_Clean[[#This Row],[Planned_Duration_Days]]&lt;=7,"Short (&lt;=7 days)",tbl_Tasks_Clean[[#This Row],[Planned_Duration_Days]]&lt;=20,"Medium (8-20 days)",TRUE,"Long (&gt;20 days)")</f>
        <v>Medium (8-20 days)</v>
      </c>
      <c r="Y315" s="29" t="str">
        <f>INDEX(Projects!$D:$D,MATCH(tbl_Tasks_Clean[[#This Row],[Project_ID]],Projects!$A:$A,0))</f>
        <v>Ahmed Nabil</v>
      </c>
      <c r="Z315" s="29" t="str">
        <f>IF(tbl_Tasks_Clean[[#This Row],[Delay_Days]]&gt;0,"Delayed by "&amp;TEXT(tbl_Tasks_Clean[[#This Row],[Delay_Days]],"0")&amp;" days",IF(tbl_Tasks_Clean[[#This Row],[Delay_Days]]&lt;0,"Early by "&amp;TEXT(-tbl_Tasks_Clean[[#This Row],[Delay_Days]],"0")&amp;" days","On schedule"))</f>
        <v>Delayed by 2 days</v>
      </c>
    </row>
    <row r="316" spans="1:26" x14ac:dyDescent="0.3">
      <c r="A316" t="s">
        <v>1427</v>
      </c>
      <c r="B316" t="s">
        <v>105</v>
      </c>
      <c r="C316" t="s">
        <v>106</v>
      </c>
      <c r="D316" t="s">
        <v>612</v>
      </c>
      <c r="E316" t="s">
        <v>206</v>
      </c>
      <c r="F316" t="s">
        <v>216</v>
      </c>
      <c r="G316" t="s">
        <v>350</v>
      </c>
      <c r="H316" t="s">
        <v>314</v>
      </c>
      <c r="I316">
        <v>4000</v>
      </c>
      <c r="J316">
        <v>4692</v>
      </c>
      <c r="K316" s="22">
        <v>45483</v>
      </c>
      <c r="L316" s="22">
        <v>45496</v>
      </c>
      <c r="M316" s="22">
        <v>45497</v>
      </c>
      <c r="N316">
        <v>13</v>
      </c>
      <c r="O316">
        <v>1</v>
      </c>
      <c r="P316" t="s">
        <v>107</v>
      </c>
      <c r="Q316" t="s">
        <v>84</v>
      </c>
      <c r="R316">
        <v>120000</v>
      </c>
      <c r="S316" t="s">
        <v>206</v>
      </c>
      <c r="T316">
        <v>200</v>
      </c>
      <c r="U316" s="29">
        <f>tbl_Tasks_Clean[[#This Row],[Actual_Cost]]-tbl_Tasks_Clean[[#This Row],[Planned_Cost]]</f>
        <v>692</v>
      </c>
      <c r="V316" s="30">
        <f>IFERROR(tbl_Tasks_Clean[[#This Row],[Cost_Variance]]/tbl_Tasks_Clean[[#This Row],[Planned_Cost]],0)</f>
        <v>0.17299999999999999</v>
      </c>
      <c r="W316" t="str">
        <f>IF(AND(tbl_Tasks_Clean[[#This Row],[Status]]="Completed",tbl_Tasks_Clean[[#This Row],[Delay_Days]]&lt;=0),"On Time",IF(AND(tbl_Tasks_Clean[[#This Row],[Status]]="Completed",tbl_Tasks_Clean[[#This Row],[Delay_Days]]&gt;0),"Late","N/A"))</f>
        <v>Late</v>
      </c>
      <c r="X316" s="29" t="str" cm="1">
        <f t="array" ref="X316">_xlfn.IFS(tbl_Tasks_Clean[[#This Row],[Planned_Duration_Days]]&lt;=7,"Short (&lt;=7 days)",tbl_Tasks_Clean[[#This Row],[Planned_Duration_Days]]&lt;=20,"Medium (8-20 days)",TRUE,"Long (&gt;20 days)")</f>
        <v>Medium (8-20 days)</v>
      </c>
      <c r="Y316" s="29" t="str">
        <f>INDEX(Projects!$D:$D,MATCH(tbl_Tasks_Clean[[#This Row],[Project_ID]],Projects!$A:$A,0))</f>
        <v>Mona Farid</v>
      </c>
      <c r="Z316" s="29" t="str">
        <f>IF(tbl_Tasks_Clean[[#This Row],[Delay_Days]]&gt;0,"Delayed by "&amp;TEXT(tbl_Tasks_Clean[[#This Row],[Delay_Days]],"0")&amp;" days",IF(tbl_Tasks_Clean[[#This Row],[Delay_Days]]&lt;0,"Early by "&amp;TEXT(-tbl_Tasks_Clean[[#This Row],[Delay_Days]],"0")&amp;" days","On schedule"))</f>
        <v>Delayed by 1 days</v>
      </c>
    </row>
  </sheetData>
  <phoneticPr fontId="11"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333"/>
  <sheetViews>
    <sheetView topLeftCell="G1" zoomScaleNormal="100" workbookViewId="0">
      <pane ySplit="1" topLeftCell="A308" activePane="bottomLeft" state="frozen"/>
      <selection pane="bottomLeft" sqref="A1:M331"/>
    </sheetView>
  </sheetViews>
  <sheetFormatPr defaultColWidth="8.6640625" defaultRowHeight="14.4" x14ac:dyDescent="0.3"/>
  <cols>
    <col min="1" max="1" width="10.5546875" customWidth="1"/>
    <col min="2" max="2" width="12.88671875" customWidth="1"/>
    <col min="3" max="3" width="22" customWidth="1"/>
    <col min="4" max="4" width="30" customWidth="1"/>
    <col min="5" max="5" width="14.33203125" customWidth="1"/>
    <col min="6" max="6" width="20" customWidth="1"/>
    <col min="7" max="7" width="10" customWidth="1"/>
    <col min="8" max="8" width="14" customWidth="1"/>
    <col min="9" max="9" width="13" customWidth="1"/>
    <col min="10" max="10" width="21.21875" customWidth="1"/>
    <col min="11" max="11" width="19.44140625" customWidth="1"/>
    <col min="12" max="12" width="16.33203125" customWidth="1"/>
    <col min="13" max="13" width="14.5546875" customWidth="1"/>
  </cols>
  <sheetData>
    <row r="1" spans="1:13" x14ac:dyDescent="0.3">
      <c r="A1" s="16" t="s">
        <v>225</v>
      </c>
      <c r="B1" s="17" t="s">
        <v>75</v>
      </c>
      <c r="C1" s="17" t="s">
        <v>76</v>
      </c>
      <c r="D1" s="17" t="s">
        <v>226</v>
      </c>
      <c r="E1" s="17" t="s">
        <v>145</v>
      </c>
      <c r="F1" s="17" t="s">
        <v>227</v>
      </c>
      <c r="G1" s="17" t="s">
        <v>228</v>
      </c>
      <c r="H1" s="17" t="s">
        <v>229</v>
      </c>
      <c r="I1" s="17" t="s">
        <v>79</v>
      </c>
      <c r="J1" s="17" t="s">
        <v>230</v>
      </c>
      <c r="K1" s="17" t="s">
        <v>231</v>
      </c>
      <c r="L1" s="17" t="s">
        <v>232</v>
      </c>
      <c r="M1" s="18" t="s">
        <v>233</v>
      </c>
    </row>
    <row r="2" spans="1:13" x14ac:dyDescent="0.3">
      <c r="A2" s="12" t="s">
        <v>234</v>
      </c>
      <c r="B2" s="5" t="s">
        <v>96</v>
      </c>
      <c r="C2" s="5" t="s">
        <v>97</v>
      </c>
      <c r="D2" s="5" t="s">
        <v>235</v>
      </c>
      <c r="E2" s="5" t="s">
        <v>236</v>
      </c>
      <c r="F2" s="5" t="s">
        <v>200</v>
      </c>
      <c r="G2" s="5" t="s">
        <v>237</v>
      </c>
      <c r="H2" s="5" t="s">
        <v>238</v>
      </c>
      <c r="I2" s="5" t="s">
        <v>239</v>
      </c>
      <c r="J2" s="5" t="s">
        <v>240</v>
      </c>
      <c r="K2" s="5" t="s">
        <v>241</v>
      </c>
      <c r="L2" s="5">
        <v>1500</v>
      </c>
      <c r="M2" s="14">
        <v>1396</v>
      </c>
    </row>
    <row r="3" spans="1:13" x14ac:dyDescent="0.3">
      <c r="A3" s="13" t="s">
        <v>242</v>
      </c>
      <c r="B3" s="8" t="s">
        <v>136</v>
      </c>
      <c r="C3" s="8" t="s">
        <v>137</v>
      </c>
      <c r="D3" s="8" t="s">
        <v>243</v>
      </c>
      <c r="E3" s="8" t="s">
        <v>164</v>
      </c>
      <c r="F3" s="8" t="s">
        <v>190</v>
      </c>
      <c r="G3" s="8" t="s">
        <v>244</v>
      </c>
      <c r="H3" s="8" t="s">
        <v>245</v>
      </c>
      <c r="I3" s="8" t="s">
        <v>112</v>
      </c>
      <c r="J3" s="8" t="s">
        <v>246</v>
      </c>
      <c r="K3" s="8"/>
      <c r="L3" s="8">
        <v>4000</v>
      </c>
      <c r="M3" s="15">
        <v>1731</v>
      </c>
    </row>
    <row r="4" spans="1:13" x14ac:dyDescent="0.3">
      <c r="A4" s="12" t="s">
        <v>247</v>
      </c>
      <c r="B4" s="5" t="s">
        <v>126</v>
      </c>
      <c r="C4" s="5" t="s">
        <v>127</v>
      </c>
      <c r="D4" s="5" t="s">
        <v>248</v>
      </c>
      <c r="E4" s="5" t="s">
        <v>249</v>
      </c>
      <c r="F4" s="5" t="s">
        <v>180</v>
      </c>
      <c r="G4" s="5" t="s">
        <v>250</v>
      </c>
      <c r="H4" s="5" t="s">
        <v>251</v>
      </c>
      <c r="I4" s="5" t="s">
        <v>252</v>
      </c>
      <c r="J4" s="5" t="s">
        <v>253</v>
      </c>
      <c r="K4" s="5"/>
      <c r="L4" s="5">
        <v>1500</v>
      </c>
      <c r="M4" s="14">
        <v>377</v>
      </c>
    </row>
    <row r="5" spans="1:13" x14ac:dyDescent="0.3">
      <c r="A5" s="13" t="s">
        <v>254</v>
      </c>
      <c r="B5" s="8" t="s">
        <v>105</v>
      </c>
      <c r="C5" s="8" t="s">
        <v>106</v>
      </c>
      <c r="D5" s="8" t="s">
        <v>255</v>
      </c>
      <c r="E5" s="8" t="s">
        <v>256</v>
      </c>
      <c r="F5" s="8" t="s">
        <v>222</v>
      </c>
      <c r="G5" s="8" t="s">
        <v>257</v>
      </c>
      <c r="H5" s="8" t="s">
        <v>258</v>
      </c>
      <c r="I5" s="8" t="s">
        <v>259</v>
      </c>
      <c r="J5" s="8" t="s">
        <v>260</v>
      </c>
      <c r="K5" s="8" t="s">
        <v>261</v>
      </c>
      <c r="L5" s="8">
        <v>4000</v>
      </c>
      <c r="M5" s="15">
        <v>4369</v>
      </c>
    </row>
    <row r="6" spans="1:13" x14ac:dyDescent="0.3">
      <c r="A6" s="12" t="s">
        <v>262</v>
      </c>
      <c r="B6" s="5" t="s">
        <v>140</v>
      </c>
      <c r="C6" s="5" t="s">
        <v>141</v>
      </c>
      <c r="D6" s="5" t="s">
        <v>263</v>
      </c>
      <c r="E6" s="5" t="s">
        <v>236</v>
      </c>
      <c r="F6" s="5" t="s">
        <v>193</v>
      </c>
      <c r="G6" s="5" t="s">
        <v>264</v>
      </c>
      <c r="H6" s="5" t="s">
        <v>251</v>
      </c>
      <c r="I6" s="5" t="s">
        <v>265</v>
      </c>
      <c r="J6" s="5" t="s">
        <v>266</v>
      </c>
      <c r="K6" s="5"/>
      <c r="L6" s="5">
        <v>4000</v>
      </c>
      <c r="M6" s="14">
        <v>1678</v>
      </c>
    </row>
    <row r="7" spans="1:13" x14ac:dyDescent="0.3">
      <c r="A7" s="13" t="s">
        <v>267</v>
      </c>
      <c r="B7" s="8" t="s">
        <v>113</v>
      </c>
      <c r="C7" s="8" t="s">
        <v>114</v>
      </c>
      <c r="D7" s="8" t="s">
        <v>268</v>
      </c>
      <c r="E7" s="8" t="s">
        <v>177</v>
      </c>
      <c r="F7" s="8" t="s">
        <v>212</v>
      </c>
      <c r="G7" s="8" t="s">
        <v>244</v>
      </c>
      <c r="H7" s="8" t="s">
        <v>269</v>
      </c>
      <c r="I7" s="8" t="s">
        <v>270</v>
      </c>
      <c r="J7" s="8" t="s">
        <v>271</v>
      </c>
      <c r="K7" s="8" t="s">
        <v>272</v>
      </c>
      <c r="L7" s="8">
        <v>1000</v>
      </c>
      <c r="M7" s="15">
        <v>1347</v>
      </c>
    </row>
    <row r="8" spans="1:13" x14ac:dyDescent="0.3">
      <c r="A8" s="12" t="s">
        <v>273</v>
      </c>
      <c r="B8" s="5" t="s">
        <v>140</v>
      </c>
      <c r="C8" s="5" t="s">
        <v>141</v>
      </c>
      <c r="D8" s="5" t="s">
        <v>274</v>
      </c>
      <c r="E8" s="5" t="s">
        <v>236</v>
      </c>
      <c r="F8" s="5" t="s">
        <v>209</v>
      </c>
      <c r="G8" s="5" t="s">
        <v>275</v>
      </c>
      <c r="H8" s="5" t="s">
        <v>276</v>
      </c>
      <c r="I8" s="5" t="s">
        <v>277</v>
      </c>
      <c r="J8" s="5" t="s">
        <v>278</v>
      </c>
      <c r="K8" s="5"/>
      <c r="L8" s="5">
        <v>10000</v>
      </c>
      <c r="M8" s="14">
        <v>0</v>
      </c>
    </row>
    <row r="9" spans="1:13" x14ac:dyDescent="0.3">
      <c r="A9" s="13" t="s">
        <v>279</v>
      </c>
      <c r="B9" s="8" t="s">
        <v>91</v>
      </c>
      <c r="C9" s="8" t="s">
        <v>92</v>
      </c>
      <c r="D9" s="8" t="s">
        <v>280</v>
      </c>
      <c r="E9" s="8"/>
      <c r="F9" s="8" t="s">
        <v>205</v>
      </c>
      <c r="G9" s="8" t="s">
        <v>281</v>
      </c>
      <c r="H9" s="8" t="s">
        <v>282</v>
      </c>
      <c r="I9" s="8" t="s">
        <v>283</v>
      </c>
      <c r="J9" s="8" t="s">
        <v>284</v>
      </c>
      <c r="K9" s="8"/>
      <c r="L9" s="8">
        <v>1000</v>
      </c>
      <c r="M9" s="15">
        <v>0</v>
      </c>
    </row>
    <row r="10" spans="1:13" x14ac:dyDescent="0.3">
      <c r="A10" s="12" t="s">
        <v>285</v>
      </c>
      <c r="B10" s="5" t="s">
        <v>81</v>
      </c>
      <c r="C10" s="5" t="s">
        <v>82</v>
      </c>
      <c r="D10" s="5" t="s">
        <v>286</v>
      </c>
      <c r="E10" s="5" t="s">
        <v>164</v>
      </c>
      <c r="F10" s="5" t="s">
        <v>200</v>
      </c>
      <c r="G10" s="5" t="s">
        <v>257</v>
      </c>
      <c r="H10" s="5" t="s">
        <v>287</v>
      </c>
      <c r="I10" s="5" t="s">
        <v>288</v>
      </c>
      <c r="J10" s="5" t="s">
        <v>289</v>
      </c>
      <c r="K10" s="5"/>
      <c r="L10" s="5">
        <v>1500</v>
      </c>
      <c r="M10" s="14">
        <v>618</v>
      </c>
    </row>
    <row r="11" spans="1:13" x14ac:dyDescent="0.3">
      <c r="A11" s="13" t="s">
        <v>290</v>
      </c>
      <c r="B11" s="8" t="s">
        <v>101</v>
      </c>
      <c r="C11" s="8" t="s">
        <v>102</v>
      </c>
      <c r="D11" s="8" t="s">
        <v>291</v>
      </c>
      <c r="E11" s="8" t="s">
        <v>292</v>
      </c>
      <c r="F11" s="8" t="s">
        <v>172</v>
      </c>
      <c r="G11" s="8" t="s">
        <v>293</v>
      </c>
      <c r="H11" s="8" t="s">
        <v>294</v>
      </c>
      <c r="I11" s="8" t="s">
        <v>295</v>
      </c>
      <c r="J11" s="8" t="s">
        <v>296</v>
      </c>
      <c r="K11" s="8" t="s">
        <v>297</v>
      </c>
      <c r="L11" s="8">
        <v>10000</v>
      </c>
      <c r="M11" s="15">
        <v>7969</v>
      </c>
    </row>
    <row r="12" spans="1:13" x14ac:dyDescent="0.3">
      <c r="A12" s="12" t="s">
        <v>298</v>
      </c>
      <c r="B12" s="5" t="s">
        <v>126</v>
      </c>
      <c r="C12" s="5" t="s">
        <v>127</v>
      </c>
      <c r="D12" s="5" t="s">
        <v>299</v>
      </c>
      <c r="E12" s="5" t="s">
        <v>300</v>
      </c>
      <c r="F12" s="5" t="s">
        <v>158</v>
      </c>
      <c r="G12" s="5" t="s">
        <v>301</v>
      </c>
      <c r="H12" s="5" t="s">
        <v>302</v>
      </c>
      <c r="I12" s="5" t="s">
        <v>303</v>
      </c>
      <c r="J12" s="5" t="s">
        <v>304</v>
      </c>
      <c r="K12" s="5"/>
      <c r="L12" s="5">
        <v>4000</v>
      </c>
      <c r="M12" s="14">
        <v>2110</v>
      </c>
    </row>
    <row r="13" spans="1:13" x14ac:dyDescent="0.3">
      <c r="A13" s="13" t="s">
        <v>305</v>
      </c>
      <c r="B13" s="8" t="s">
        <v>101</v>
      </c>
      <c r="C13" s="8" t="s">
        <v>102</v>
      </c>
      <c r="D13" s="8" t="s">
        <v>306</v>
      </c>
      <c r="E13" s="8" t="s">
        <v>307</v>
      </c>
      <c r="F13" s="8" t="s">
        <v>161</v>
      </c>
      <c r="G13" s="8" t="s">
        <v>275</v>
      </c>
      <c r="H13" s="8" t="s">
        <v>294</v>
      </c>
      <c r="I13" s="8" t="s">
        <v>308</v>
      </c>
      <c r="J13" s="8" t="s">
        <v>309</v>
      </c>
      <c r="K13" s="8" t="s">
        <v>310</v>
      </c>
      <c r="L13" s="8"/>
      <c r="M13" s="15">
        <v>2553</v>
      </c>
    </row>
    <row r="14" spans="1:13" x14ac:dyDescent="0.3">
      <c r="A14" s="12" t="s">
        <v>311</v>
      </c>
      <c r="B14" s="5" t="s">
        <v>118</v>
      </c>
      <c r="C14" s="5" t="s">
        <v>119</v>
      </c>
      <c r="D14" s="5" t="s">
        <v>312</v>
      </c>
      <c r="E14" s="5" t="s">
        <v>313</v>
      </c>
      <c r="F14" s="5" t="s">
        <v>209</v>
      </c>
      <c r="G14" s="5" t="s">
        <v>293</v>
      </c>
      <c r="H14" s="5" t="s">
        <v>314</v>
      </c>
      <c r="I14" s="5" t="s">
        <v>315</v>
      </c>
      <c r="J14" s="5" t="s">
        <v>316</v>
      </c>
      <c r="K14" s="5" t="s">
        <v>316</v>
      </c>
      <c r="L14" s="5">
        <v>1500</v>
      </c>
      <c r="M14" s="14">
        <v>1823</v>
      </c>
    </row>
    <row r="15" spans="1:13" x14ac:dyDescent="0.3">
      <c r="A15" s="13" t="s">
        <v>317</v>
      </c>
      <c r="B15" s="8" t="s">
        <v>113</v>
      </c>
      <c r="C15" s="8" t="s">
        <v>114</v>
      </c>
      <c r="D15" s="8" t="s">
        <v>280</v>
      </c>
      <c r="E15" s="8"/>
      <c r="F15" s="8" t="s">
        <v>155</v>
      </c>
      <c r="G15" s="8" t="s">
        <v>318</v>
      </c>
      <c r="H15" s="8" t="s">
        <v>319</v>
      </c>
      <c r="I15" s="8" t="s">
        <v>320</v>
      </c>
      <c r="J15" s="8" t="s">
        <v>321</v>
      </c>
      <c r="K15" s="8"/>
      <c r="L15" s="8">
        <v>10000</v>
      </c>
      <c r="M15" s="15">
        <v>5964</v>
      </c>
    </row>
    <row r="16" spans="1:13" x14ac:dyDescent="0.3">
      <c r="A16" s="12" t="s">
        <v>322</v>
      </c>
      <c r="B16" s="5" t="s">
        <v>91</v>
      </c>
      <c r="C16" s="5" t="s">
        <v>92</v>
      </c>
      <c r="D16" s="5" t="s">
        <v>323</v>
      </c>
      <c r="E16" s="5" t="s">
        <v>300</v>
      </c>
      <c r="F16" s="5" t="s">
        <v>200</v>
      </c>
      <c r="G16" s="5" t="s">
        <v>275</v>
      </c>
      <c r="H16" s="5" t="s">
        <v>324</v>
      </c>
      <c r="I16" s="5" t="s">
        <v>325</v>
      </c>
      <c r="J16" s="5" t="s">
        <v>303</v>
      </c>
      <c r="K16" s="5" t="s">
        <v>326</v>
      </c>
      <c r="L16" s="5">
        <v>4000</v>
      </c>
      <c r="M16" s="14">
        <v>5187</v>
      </c>
    </row>
    <row r="17" spans="1:13" x14ac:dyDescent="0.3">
      <c r="A17" s="13" t="s">
        <v>327</v>
      </c>
      <c r="B17" s="8" t="s">
        <v>136</v>
      </c>
      <c r="C17" s="8" t="s">
        <v>137</v>
      </c>
      <c r="D17" s="8" t="s">
        <v>328</v>
      </c>
      <c r="E17" s="8" t="s">
        <v>329</v>
      </c>
      <c r="F17" s="8" t="s">
        <v>224</v>
      </c>
      <c r="G17" s="8" t="s">
        <v>250</v>
      </c>
      <c r="H17" s="8" t="s">
        <v>324</v>
      </c>
      <c r="I17" s="8" t="s">
        <v>330</v>
      </c>
      <c r="J17" s="8" t="s">
        <v>331</v>
      </c>
      <c r="K17" s="8" t="s">
        <v>332</v>
      </c>
      <c r="L17" s="8">
        <v>1000</v>
      </c>
      <c r="M17" s="15">
        <v>1263</v>
      </c>
    </row>
    <row r="18" spans="1:13" x14ac:dyDescent="0.3">
      <c r="A18" s="12" t="s">
        <v>333</v>
      </c>
      <c r="B18" s="5" t="s">
        <v>86</v>
      </c>
      <c r="C18" s="5" t="s">
        <v>87</v>
      </c>
      <c r="D18" s="5" t="s">
        <v>334</v>
      </c>
      <c r="E18" s="5" t="s">
        <v>335</v>
      </c>
      <c r="F18" s="5" t="s">
        <v>158</v>
      </c>
      <c r="G18" s="5" t="s">
        <v>264</v>
      </c>
      <c r="H18" s="5" t="s">
        <v>276</v>
      </c>
      <c r="I18" s="5" t="s">
        <v>336</v>
      </c>
      <c r="J18" s="5" t="s">
        <v>337</v>
      </c>
      <c r="K18" s="5"/>
      <c r="L18" s="5">
        <v>6000</v>
      </c>
      <c r="M18" s="14">
        <v>0</v>
      </c>
    </row>
    <row r="19" spans="1:13" x14ac:dyDescent="0.3">
      <c r="A19" s="13" t="s">
        <v>338</v>
      </c>
      <c r="B19" s="8" t="s">
        <v>101</v>
      </c>
      <c r="C19" s="8" t="s">
        <v>102</v>
      </c>
      <c r="D19" s="8" t="s">
        <v>339</v>
      </c>
      <c r="E19" s="8" t="s">
        <v>313</v>
      </c>
      <c r="F19" s="8" t="s">
        <v>222</v>
      </c>
      <c r="G19" s="8" t="s">
        <v>281</v>
      </c>
      <c r="H19" s="8" t="s">
        <v>294</v>
      </c>
      <c r="I19" s="8" t="s">
        <v>340</v>
      </c>
      <c r="J19" s="8" t="s">
        <v>341</v>
      </c>
      <c r="K19" s="8" t="s">
        <v>342</v>
      </c>
      <c r="L19" s="8">
        <v>5000</v>
      </c>
      <c r="M19" s="15">
        <v>4772</v>
      </c>
    </row>
    <row r="20" spans="1:13" x14ac:dyDescent="0.3">
      <c r="A20" s="12" t="s">
        <v>343</v>
      </c>
      <c r="B20" s="5" t="s">
        <v>86</v>
      </c>
      <c r="C20" s="5" t="s">
        <v>87</v>
      </c>
      <c r="D20" s="5" t="s">
        <v>344</v>
      </c>
      <c r="E20" s="5" t="s">
        <v>256</v>
      </c>
      <c r="F20" s="5" t="s">
        <v>169</v>
      </c>
      <c r="G20" s="5" t="s">
        <v>293</v>
      </c>
      <c r="H20" s="5" t="s">
        <v>324</v>
      </c>
      <c r="I20" s="5" t="s">
        <v>345</v>
      </c>
      <c r="J20" s="5" t="s">
        <v>346</v>
      </c>
      <c r="K20" s="5" t="s">
        <v>346</v>
      </c>
      <c r="L20" s="5">
        <v>1500</v>
      </c>
      <c r="M20" s="14">
        <v>1799</v>
      </c>
    </row>
    <row r="21" spans="1:13" x14ac:dyDescent="0.3">
      <c r="A21" s="13" t="s">
        <v>347</v>
      </c>
      <c r="B21" s="8" t="s">
        <v>126</v>
      </c>
      <c r="C21" s="8" t="s">
        <v>127</v>
      </c>
      <c r="D21" s="8" t="s">
        <v>348</v>
      </c>
      <c r="E21" s="8" t="s">
        <v>349</v>
      </c>
      <c r="F21" s="8" t="s">
        <v>163</v>
      </c>
      <c r="G21" s="8" t="s">
        <v>350</v>
      </c>
      <c r="H21" s="8" t="s">
        <v>351</v>
      </c>
      <c r="I21" s="8" t="s">
        <v>352</v>
      </c>
      <c r="J21" s="8" t="s">
        <v>353</v>
      </c>
      <c r="K21" s="8"/>
      <c r="L21" s="8">
        <v>5000</v>
      </c>
      <c r="M21" s="15">
        <v>0</v>
      </c>
    </row>
    <row r="22" spans="1:13" x14ac:dyDescent="0.3">
      <c r="A22" s="12" t="s">
        <v>354</v>
      </c>
      <c r="B22" s="5" t="s">
        <v>122</v>
      </c>
      <c r="C22" s="5" t="s">
        <v>123</v>
      </c>
      <c r="D22" s="5" t="s">
        <v>355</v>
      </c>
      <c r="E22" s="5" t="s">
        <v>300</v>
      </c>
      <c r="F22" s="5" t="s">
        <v>224</v>
      </c>
      <c r="G22" s="5" t="s">
        <v>244</v>
      </c>
      <c r="H22" s="5" t="s">
        <v>356</v>
      </c>
      <c r="I22" s="5" t="s">
        <v>357</v>
      </c>
      <c r="J22" s="5" t="s">
        <v>358</v>
      </c>
      <c r="K22" s="5" t="s">
        <v>359</v>
      </c>
      <c r="L22" s="5">
        <v>2500</v>
      </c>
      <c r="M22" s="14">
        <v>2216</v>
      </c>
    </row>
    <row r="23" spans="1:13" x14ac:dyDescent="0.3">
      <c r="A23" s="13" t="s">
        <v>360</v>
      </c>
      <c r="B23" s="8"/>
      <c r="C23" s="8"/>
      <c r="D23" s="8" t="s">
        <v>361</v>
      </c>
      <c r="E23" s="8"/>
      <c r="F23" s="8"/>
      <c r="G23" s="8"/>
      <c r="H23" s="8"/>
      <c r="I23" s="8"/>
      <c r="J23" s="8"/>
      <c r="K23" s="8"/>
      <c r="L23" s="8"/>
      <c r="M23" s="15"/>
    </row>
    <row r="24" spans="1:13" x14ac:dyDescent="0.3">
      <c r="A24" s="12" t="s">
        <v>362</v>
      </c>
      <c r="B24" s="5" t="s">
        <v>101</v>
      </c>
      <c r="C24" s="5" t="s">
        <v>102</v>
      </c>
      <c r="D24" s="5" t="s">
        <v>363</v>
      </c>
      <c r="E24" s="5" t="s">
        <v>236</v>
      </c>
      <c r="F24" s="5" t="s">
        <v>190</v>
      </c>
      <c r="G24" s="5" t="s">
        <v>364</v>
      </c>
      <c r="H24" s="5" t="s">
        <v>365</v>
      </c>
      <c r="I24" s="5" t="s">
        <v>366</v>
      </c>
      <c r="J24" s="5" t="s">
        <v>367</v>
      </c>
      <c r="K24" s="5" t="s">
        <v>368</v>
      </c>
      <c r="L24" s="5">
        <v>2000</v>
      </c>
      <c r="M24" s="14">
        <v>2594</v>
      </c>
    </row>
    <row r="25" spans="1:13" x14ac:dyDescent="0.3">
      <c r="A25" s="13" t="s">
        <v>369</v>
      </c>
      <c r="B25" s="8" t="s">
        <v>122</v>
      </c>
      <c r="C25" s="8" t="s">
        <v>123</v>
      </c>
      <c r="D25" s="8" t="s">
        <v>370</v>
      </c>
      <c r="E25" s="8" t="s">
        <v>300</v>
      </c>
      <c r="F25" s="8" t="s">
        <v>190</v>
      </c>
      <c r="G25" s="8" t="s">
        <v>237</v>
      </c>
      <c r="H25" s="8" t="s">
        <v>282</v>
      </c>
      <c r="I25" s="8" t="s">
        <v>371</v>
      </c>
      <c r="J25" s="8" t="s">
        <v>372</v>
      </c>
      <c r="K25" s="8"/>
      <c r="L25" s="8">
        <v>8000</v>
      </c>
      <c r="M25" s="15">
        <v>0</v>
      </c>
    </row>
    <row r="26" spans="1:13" x14ac:dyDescent="0.3">
      <c r="A26" s="12" t="s">
        <v>373</v>
      </c>
      <c r="B26" s="5" t="s">
        <v>129</v>
      </c>
      <c r="C26" s="5" t="s">
        <v>130</v>
      </c>
      <c r="D26" s="5" t="s">
        <v>374</v>
      </c>
      <c r="E26" s="5" t="s">
        <v>307</v>
      </c>
      <c r="F26" s="5" t="s">
        <v>190</v>
      </c>
      <c r="G26" s="5" t="s">
        <v>250</v>
      </c>
      <c r="H26" s="5" t="s">
        <v>324</v>
      </c>
      <c r="I26" s="5" t="s">
        <v>117</v>
      </c>
      <c r="J26" s="5" t="s">
        <v>375</v>
      </c>
      <c r="K26" s="5" t="s">
        <v>375</v>
      </c>
      <c r="L26" s="5">
        <v>1500</v>
      </c>
      <c r="M26" s="14">
        <v>1982</v>
      </c>
    </row>
    <row r="27" spans="1:13" x14ac:dyDescent="0.3">
      <c r="A27" s="13" t="s">
        <v>376</v>
      </c>
      <c r="B27" s="8" t="s">
        <v>126</v>
      </c>
      <c r="C27" s="8" t="s">
        <v>127</v>
      </c>
      <c r="D27" s="8" t="s">
        <v>377</v>
      </c>
      <c r="E27" s="8" t="s">
        <v>187</v>
      </c>
      <c r="F27" s="8" t="s">
        <v>167</v>
      </c>
      <c r="G27" s="8" t="s">
        <v>293</v>
      </c>
      <c r="H27" s="8" t="s">
        <v>245</v>
      </c>
      <c r="I27" s="8" t="s">
        <v>378</v>
      </c>
      <c r="J27" s="8" t="s">
        <v>379</v>
      </c>
      <c r="K27" s="8"/>
      <c r="L27" s="8">
        <v>1500</v>
      </c>
      <c r="M27" s="15">
        <v>598</v>
      </c>
    </row>
    <row r="28" spans="1:13" x14ac:dyDescent="0.3">
      <c r="A28" s="12" t="s">
        <v>380</v>
      </c>
      <c r="B28" s="5" t="s">
        <v>113</v>
      </c>
      <c r="C28" s="5" t="s">
        <v>114</v>
      </c>
      <c r="D28" s="5" t="s">
        <v>381</v>
      </c>
      <c r="E28" s="5" t="s">
        <v>219</v>
      </c>
      <c r="F28" s="5" t="s">
        <v>214</v>
      </c>
      <c r="G28" s="5" t="s">
        <v>275</v>
      </c>
      <c r="H28" s="5" t="s">
        <v>282</v>
      </c>
      <c r="I28" s="5" t="s">
        <v>382</v>
      </c>
      <c r="J28" s="5" t="s">
        <v>383</v>
      </c>
      <c r="K28" s="5"/>
      <c r="L28" s="5">
        <v>1000</v>
      </c>
      <c r="M28" s="14">
        <v>0</v>
      </c>
    </row>
    <row r="29" spans="1:13" x14ac:dyDescent="0.3">
      <c r="A29" s="13" t="s">
        <v>384</v>
      </c>
      <c r="B29" s="8" t="s">
        <v>122</v>
      </c>
      <c r="C29" s="8" t="s">
        <v>123</v>
      </c>
      <c r="D29" s="8" t="s">
        <v>385</v>
      </c>
      <c r="E29" s="8" t="s">
        <v>329</v>
      </c>
      <c r="F29" s="8"/>
      <c r="G29" s="8" t="s">
        <v>350</v>
      </c>
      <c r="H29" s="8" t="s">
        <v>324</v>
      </c>
      <c r="I29" s="8" t="s">
        <v>386</v>
      </c>
      <c r="J29" s="8" t="s">
        <v>387</v>
      </c>
      <c r="K29" s="8" t="s">
        <v>387</v>
      </c>
      <c r="L29" s="8">
        <v>8000</v>
      </c>
      <c r="M29" s="15">
        <v>5874</v>
      </c>
    </row>
    <row r="30" spans="1:13" x14ac:dyDescent="0.3">
      <c r="A30" s="12" t="s">
        <v>388</v>
      </c>
      <c r="B30" s="5" t="s">
        <v>96</v>
      </c>
      <c r="C30" s="5" t="s">
        <v>97</v>
      </c>
      <c r="D30" s="5" t="s">
        <v>389</v>
      </c>
      <c r="E30" s="5" t="s">
        <v>249</v>
      </c>
      <c r="F30" s="5" t="s">
        <v>153</v>
      </c>
      <c r="G30" s="5" t="s">
        <v>264</v>
      </c>
      <c r="H30" s="5" t="s">
        <v>356</v>
      </c>
      <c r="I30" s="5" t="s">
        <v>390</v>
      </c>
      <c r="J30" s="5" t="s">
        <v>391</v>
      </c>
      <c r="K30" s="5" t="s">
        <v>392</v>
      </c>
      <c r="L30" s="5"/>
      <c r="M30" s="14">
        <v>6098</v>
      </c>
    </row>
    <row r="31" spans="1:13" x14ac:dyDescent="0.3">
      <c r="A31" s="13" t="s">
        <v>393</v>
      </c>
      <c r="B31" s="8" t="s">
        <v>105</v>
      </c>
      <c r="C31" s="8" t="s">
        <v>106</v>
      </c>
      <c r="D31" s="8" t="s">
        <v>394</v>
      </c>
      <c r="E31" s="8" t="s">
        <v>395</v>
      </c>
      <c r="F31" s="8" t="s">
        <v>183</v>
      </c>
      <c r="G31" s="8" t="s">
        <v>257</v>
      </c>
      <c r="H31" s="8" t="s">
        <v>356</v>
      </c>
      <c r="I31" s="8" t="s">
        <v>396</v>
      </c>
      <c r="J31" s="8" t="s">
        <v>397</v>
      </c>
      <c r="K31" s="8" t="s">
        <v>398</v>
      </c>
      <c r="L31" s="8">
        <v>10000</v>
      </c>
      <c r="M31" s="15">
        <v>12422</v>
      </c>
    </row>
    <row r="32" spans="1:13" x14ac:dyDescent="0.3">
      <c r="A32" s="12" t="s">
        <v>399</v>
      </c>
      <c r="B32" s="5" t="s">
        <v>140</v>
      </c>
      <c r="C32" s="5" t="s">
        <v>141</v>
      </c>
      <c r="D32" s="5" t="s">
        <v>400</v>
      </c>
      <c r="E32" s="5" t="s">
        <v>292</v>
      </c>
      <c r="F32" s="5" t="s">
        <v>401</v>
      </c>
      <c r="G32" s="5" t="s">
        <v>364</v>
      </c>
      <c r="H32" s="5" t="s">
        <v>238</v>
      </c>
      <c r="I32" s="5" t="s">
        <v>240</v>
      </c>
      <c r="J32" s="5" t="s">
        <v>402</v>
      </c>
      <c r="K32" s="5" t="s">
        <v>266</v>
      </c>
      <c r="L32" s="5">
        <v>2000</v>
      </c>
      <c r="M32" s="14">
        <v>2297</v>
      </c>
    </row>
    <row r="33" spans="1:13" x14ac:dyDescent="0.3">
      <c r="A33" s="13" t="s">
        <v>403</v>
      </c>
      <c r="B33" s="8" t="s">
        <v>91</v>
      </c>
      <c r="C33" s="8" t="s">
        <v>92</v>
      </c>
      <c r="D33" s="8" t="s">
        <v>404</v>
      </c>
      <c r="E33" s="8" t="s">
        <v>405</v>
      </c>
      <c r="F33" s="8" t="s">
        <v>224</v>
      </c>
      <c r="G33" s="8" t="s">
        <v>275</v>
      </c>
      <c r="H33" s="8" t="s">
        <v>365</v>
      </c>
      <c r="I33" s="8" t="s">
        <v>406</v>
      </c>
      <c r="J33" s="8" t="s">
        <v>407</v>
      </c>
      <c r="K33" s="8" t="s">
        <v>407</v>
      </c>
      <c r="L33" s="8">
        <v>1500</v>
      </c>
      <c r="M33" s="15">
        <v>1286</v>
      </c>
    </row>
    <row r="34" spans="1:13" x14ac:dyDescent="0.3">
      <c r="A34" s="12" t="s">
        <v>408</v>
      </c>
      <c r="B34" s="5" t="s">
        <v>91</v>
      </c>
      <c r="C34" s="5" t="s">
        <v>92</v>
      </c>
      <c r="D34" s="5" t="s">
        <v>409</v>
      </c>
      <c r="E34" s="5" t="s">
        <v>410</v>
      </c>
      <c r="F34" s="5" t="s">
        <v>216</v>
      </c>
      <c r="G34" s="5" t="s">
        <v>244</v>
      </c>
      <c r="H34" s="5" t="s">
        <v>324</v>
      </c>
      <c r="I34" s="5" t="s">
        <v>411</v>
      </c>
      <c r="J34" s="5" t="s">
        <v>412</v>
      </c>
      <c r="K34" s="5" t="s">
        <v>265</v>
      </c>
      <c r="L34" s="5">
        <v>5000</v>
      </c>
      <c r="M34" s="14">
        <v>3653</v>
      </c>
    </row>
    <row r="35" spans="1:13" x14ac:dyDescent="0.3">
      <c r="A35" s="13" t="s">
        <v>413</v>
      </c>
      <c r="B35" s="8" t="s">
        <v>96</v>
      </c>
      <c r="C35" s="8" t="s">
        <v>97</v>
      </c>
      <c r="D35" s="8" t="s">
        <v>414</v>
      </c>
      <c r="E35" s="8" t="s">
        <v>300</v>
      </c>
      <c r="F35" s="8" t="s">
        <v>183</v>
      </c>
      <c r="G35" s="8" t="s">
        <v>264</v>
      </c>
      <c r="H35" s="8" t="s">
        <v>356</v>
      </c>
      <c r="I35" s="8" t="s">
        <v>415</v>
      </c>
      <c r="J35" s="8" t="s">
        <v>416</v>
      </c>
      <c r="K35" s="8" t="s">
        <v>417</v>
      </c>
      <c r="L35" s="8">
        <v>1000</v>
      </c>
      <c r="M35" s="15">
        <v>1399</v>
      </c>
    </row>
    <row r="36" spans="1:13" x14ac:dyDescent="0.3">
      <c r="A36" s="12" t="s">
        <v>418</v>
      </c>
      <c r="B36" s="5" t="s">
        <v>140</v>
      </c>
      <c r="C36" s="5" t="s">
        <v>141</v>
      </c>
      <c r="D36" s="5" t="s">
        <v>419</v>
      </c>
      <c r="E36" s="5" t="s">
        <v>150</v>
      </c>
      <c r="F36" s="5" t="s">
        <v>190</v>
      </c>
      <c r="G36" s="5" t="s">
        <v>301</v>
      </c>
      <c r="H36" s="5" t="s">
        <v>245</v>
      </c>
      <c r="I36" s="5" t="s">
        <v>420</v>
      </c>
      <c r="J36" s="5" t="s">
        <v>421</v>
      </c>
      <c r="K36" s="5"/>
      <c r="L36" s="5">
        <v>2500</v>
      </c>
      <c r="M36" s="14">
        <v>1606</v>
      </c>
    </row>
    <row r="37" spans="1:13" x14ac:dyDescent="0.3">
      <c r="A37" s="13" t="s">
        <v>422</v>
      </c>
      <c r="B37" s="8" t="s">
        <v>81</v>
      </c>
      <c r="C37" s="8" t="s">
        <v>82</v>
      </c>
      <c r="D37" s="8" t="s">
        <v>423</v>
      </c>
      <c r="E37" s="8" t="s">
        <v>424</v>
      </c>
      <c r="F37" s="8" t="s">
        <v>180</v>
      </c>
      <c r="G37" s="8" t="s">
        <v>257</v>
      </c>
      <c r="H37" s="8" t="s">
        <v>269</v>
      </c>
      <c r="I37" s="8" t="s">
        <v>425</v>
      </c>
      <c r="J37" s="8" t="s">
        <v>426</v>
      </c>
      <c r="K37" s="8" t="s">
        <v>427</v>
      </c>
      <c r="L37" s="8">
        <v>1500</v>
      </c>
      <c r="M37" s="15">
        <v>1676</v>
      </c>
    </row>
    <row r="38" spans="1:13" x14ac:dyDescent="0.3">
      <c r="A38" s="12" t="s">
        <v>428</v>
      </c>
      <c r="B38" s="5" t="s">
        <v>122</v>
      </c>
      <c r="C38" s="5" t="s">
        <v>123</v>
      </c>
      <c r="D38" s="5" t="s">
        <v>429</v>
      </c>
      <c r="E38" s="5" t="s">
        <v>150</v>
      </c>
      <c r="F38" s="5" t="s">
        <v>176</v>
      </c>
      <c r="G38" s="5" t="s">
        <v>350</v>
      </c>
      <c r="H38" s="5" t="s">
        <v>430</v>
      </c>
      <c r="I38" s="5" t="s">
        <v>431</v>
      </c>
      <c r="J38" s="5" t="s">
        <v>432</v>
      </c>
      <c r="K38" s="5"/>
      <c r="L38" s="5">
        <v>1000</v>
      </c>
      <c r="M38" s="14">
        <v>0</v>
      </c>
    </row>
    <row r="39" spans="1:13" x14ac:dyDescent="0.3">
      <c r="A39" s="13" t="s">
        <v>433</v>
      </c>
      <c r="B39" s="8" t="s">
        <v>105</v>
      </c>
      <c r="C39" s="8" t="s">
        <v>106</v>
      </c>
      <c r="D39" s="8" t="s">
        <v>434</v>
      </c>
      <c r="E39" s="8" t="s">
        <v>292</v>
      </c>
      <c r="F39" s="8" t="s">
        <v>205</v>
      </c>
      <c r="G39" s="8" t="s">
        <v>264</v>
      </c>
      <c r="H39" s="8" t="s">
        <v>430</v>
      </c>
      <c r="I39" s="8" t="s">
        <v>435</v>
      </c>
      <c r="J39" s="8" t="s">
        <v>436</v>
      </c>
      <c r="K39" s="8"/>
      <c r="L39" s="8">
        <v>5000</v>
      </c>
      <c r="M39" s="15">
        <v>0</v>
      </c>
    </row>
    <row r="40" spans="1:13" x14ac:dyDescent="0.3">
      <c r="A40" s="12" t="s">
        <v>437</v>
      </c>
      <c r="B40" s="5" t="s">
        <v>105</v>
      </c>
      <c r="C40" s="5" t="s">
        <v>106</v>
      </c>
      <c r="D40" s="5" t="s">
        <v>438</v>
      </c>
      <c r="E40" s="5" t="s">
        <v>439</v>
      </c>
      <c r="F40" s="5" t="s">
        <v>200</v>
      </c>
      <c r="G40" s="5" t="s">
        <v>275</v>
      </c>
      <c r="H40" s="5" t="s">
        <v>440</v>
      </c>
      <c r="I40" s="5" t="s">
        <v>441</v>
      </c>
      <c r="J40" s="5" t="s">
        <v>442</v>
      </c>
      <c r="K40" s="5" t="s">
        <v>443</v>
      </c>
      <c r="L40" s="5">
        <v>3000</v>
      </c>
      <c r="M40" s="14">
        <v>2512</v>
      </c>
    </row>
    <row r="41" spans="1:13" x14ac:dyDescent="0.3">
      <c r="A41" s="13" t="s">
        <v>444</v>
      </c>
      <c r="B41" s="8" t="s">
        <v>122</v>
      </c>
      <c r="C41" s="8" t="s">
        <v>123</v>
      </c>
      <c r="D41" s="8" t="s">
        <v>445</v>
      </c>
      <c r="E41" s="8" t="s">
        <v>446</v>
      </c>
      <c r="F41" s="8" t="s">
        <v>167</v>
      </c>
      <c r="G41" s="8" t="s">
        <v>237</v>
      </c>
      <c r="H41" s="8" t="s">
        <v>251</v>
      </c>
      <c r="I41" s="8" t="s">
        <v>447</v>
      </c>
      <c r="J41" s="8" t="s">
        <v>421</v>
      </c>
      <c r="K41" s="8"/>
      <c r="L41" s="8">
        <v>3000</v>
      </c>
      <c r="M41" s="15">
        <v>1021</v>
      </c>
    </row>
    <row r="42" spans="1:13" x14ac:dyDescent="0.3">
      <c r="A42" s="12" t="s">
        <v>448</v>
      </c>
      <c r="B42" s="5" t="s">
        <v>140</v>
      </c>
      <c r="C42" s="5" t="s">
        <v>141</v>
      </c>
      <c r="D42" s="5" t="s">
        <v>449</v>
      </c>
      <c r="E42" s="5" t="s">
        <v>236</v>
      </c>
      <c r="F42" s="5" t="s">
        <v>190</v>
      </c>
      <c r="G42" s="5" t="s">
        <v>293</v>
      </c>
      <c r="H42" s="5" t="s">
        <v>324</v>
      </c>
      <c r="I42" s="5" t="s">
        <v>450</v>
      </c>
      <c r="J42" s="5" t="s">
        <v>451</v>
      </c>
      <c r="K42" s="5" t="s">
        <v>303</v>
      </c>
      <c r="L42" s="5">
        <v>10000</v>
      </c>
      <c r="M42" s="14">
        <v>10647</v>
      </c>
    </row>
    <row r="43" spans="1:13" x14ac:dyDescent="0.3">
      <c r="A43" s="13" t="s">
        <v>452</v>
      </c>
      <c r="B43" s="8" t="s">
        <v>118</v>
      </c>
      <c r="C43" s="8" t="s">
        <v>119</v>
      </c>
      <c r="D43" s="8" t="s">
        <v>453</v>
      </c>
      <c r="E43" s="8" t="s">
        <v>335</v>
      </c>
      <c r="F43" s="8" t="s">
        <v>176</v>
      </c>
      <c r="G43" s="8" t="s">
        <v>293</v>
      </c>
      <c r="H43" s="8" t="s">
        <v>287</v>
      </c>
      <c r="I43" s="8" t="s">
        <v>454</v>
      </c>
      <c r="J43" s="8" t="s">
        <v>455</v>
      </c>
      <c r="K43" s="8"/>
      <c r="L43" s="8">
        <v>2500</v>
      </c>
      <c r="M43" s="15">
        <v>1242</v>
      </c>
    </row>
    <row r="44" spans="1:13" x14ac:dyDescent="0.3">
      <c r="A44" s="12" t="s">
        <v>456</v>
      </c>
      <c r="B44" s="5" t="s">
        <v>109</v>
      </c>
      <c r="C44" s="5" t="s">
        <v>110</v>
      </c>
      <c r="D44" s="5" t="s">
        <v>457</v>
      </c>
      <c r="E44" s="5" t="s">
        <v>150</v>
      </c>
      <c r="F44" s="5" t="s">
        <v>190</v>
      </c>
      <c r="G44" s="5" t="s">
        <v>250</v>
      </c>
      <c r="H44" s="5" t="s">
        <v>294</v>
      </c>
      <c r="I44" s="5" t="s">
        <v>458</v>
      </c>
      <c r="J44" s="5" t="s">
        <v>459</v>
      </c>
      <c r="K44" s="5" t="s">
        <v>460</v>
      </c>
      <c r="L44" s="5">
        <v>1500</v>
      </c>
      <c r="M44" s="14">
        <v>1674</v>
      </c>
    </row>
    <row r="45" spans="1:13" x14ac:dyDescent="0.3">
      <c r="A45" s="13" t="s">
        <v>461</v>
      </c>
      <c r="B45" s="8" t="s">
        <v>126</v>
      </c>
      <c r="C45" s="8" t="s">
        <v>127</v>
      </c>
      <c r="D45" s="8" t="s">
        <v>462</v>
      </c>
      <c r="E45" s="8" t="s">
        <v>177</v>
      </c>
      <c r="F45" s="8" t="s">
        <v>169</v>
      </c>
      <c r="G45" s="8" t="s">
        <v>350</v>
      </c>
      <c r="H45" s="8" t="s">
        <v>251</v>
      </c>
      <c r="I45" s="8" t="s">
        <v>463</v>
      </c>
      <c r="J45" s="8" t="s">
        <v>464</v>
      </c>
      <c r="K45" s="8"/>
      <c r="L45" s="8">
        <v>1000</v>
      </c>
      <c r="M45" s="15">
        <v>359</v>
      </c>
    </row>
    <row r="46" spans="1:13" x14ac:dyDescent="0.3">
      <c r="A46" s="12" t="s">
        <v>465</v>
      </c>
      <c r="B46" s="5" t="s">
        <v>118</v>
      </c>
      <c r="C46" s="5" t="s">
        <v>119</v>
      </c>
      <c r="D46" s="5" t="s">
        <v>466</v>
      </c>
      <c r="E46" s="5" t="s">
        <v>467</v>
      </c>
      <c r="F46" s="5" t="s">
        <v>183</v>
      </c>
      <c r="G46" s="5" t="s">
        <v>264</v>
      </c>
      <c r="H46" s="5" t="s">
        <v>276</v>
      </c>
      <c r="I46" s="5" t="s">
        <v>468</v>
      </c>
      <c r="J46" s="5" t="s">
        <v>469</v>
      </c>
      <c r="K46" s="5"/>
      <c r="L46" s="5">
        <v>2000</v>
      </c>
      <c r="M46" s="14">
        <v>0</v>
      </c>
    </row>
    <row r="47" spans="1:13" x14ac:dyDescent="0.3">
      <c r="A47" s="13" t="s">
        <v>470</v>
      </c>
      <c r="B47" s="8" t="s">
        <v>118</v>
      </c>
      <c r="C47" s="8" t="s">
        <v>119</v>
      </c>
      <c r="D47" s="8" t="s">
        <v>471</v>
      </c>
      <c r="E47" s="8" t="s">
        <v>292</v>
      </c>
      <c r="F47" s="8" t="s">
        <v>176</v>
      </c>
      <c r="G47" s="8" t="s">
        <v>275</v>
      </c>
      <c r="H47" s="8" t="s">
        <v>314</v>
      </c>
      <c r="I47" s="8" t="s">
        <v>472</v>
      </c>
      <c r="J47" s="8" t="s">
        <v>473</v>
      </c>
      <c r="K47" s="8" t="s">
        <v>474</v>
      </c>
      <c r="L47" s="8">
        <v>6000</v>
      </c>
      <c r="M47" s="15">
        <v>8191</v>
      </c>
    </row>
    <row r="48" spans="1:13" x14ac:dyDescent="0.3">
      <c r="A48" s="12" t="s">
        <v>475</v>
      </c>
      <c r="B48" s="5" t="s">
        <v>122</v>
      </c>
      <c r="C48" s="5" t="s">
        <v>123</v>
      </c>
      <c r="D48" s="5" t="s">
        <v>476</v>
      </c>
      <c r="E48" s="5" t="s">
        <v>197</v>
      </c>
      <c r="F48" s="5" t="s">
        <v>193</v>
      </c>
      <c r="G48" s="5" t="s">
        <v>250</v>
      </c>
      <c r="H48" s="5" t="s">
        <v>319</v>
      </c>
      <c r="I48" s="5" t="s">
        <v>477</v>
      </c>
      <c r="J48" s="5" t="s">
        <v>478</v>
      </c>
      <c r="K48" s="5"/>
      <c r="L48" s="5">
        <v>8000</v>
      </c>
      <c r="M48" s="14">
        <v>3329</v>
      </c>
    </row>
    <row r="49" spans="1:13" x14ac:dyDescent="0.3">
      <c r="A49" s="13" t="s">
        <v>479</v>
      </c>
      <c r="B49" s="8" t="s">
        <v>109</v>
      </c>
      <c r="C49" s="8" t="s">
        <v>110</v>
      </c>
      <c r="D49" s="8" t="s">
        <v>480</v>
      </c>
      <c r="E49" s="8" t="s">
        <v>481</v>
      </c>
      <c r="F49" s="8" t="s">
        <v>205</v>
      </c>
      <c r="G49" s="8" t="s">
        <v>264</v>
      </c>
      <c r="H49" s="8" t="s">
        <v>287</v>
      </c>
      <c r="I49" s="8" t="s">
        <v>482</v>
      </c>
      <c r="J49" s="8" t="s">
        <v>483</v>
      </c>
      <c r="K49" s="8"/>
      <c r="L49" s="8">
        <v>10000</v>
      </c>
      <c r="M49" s="15">
        <v>3913</v>
      </c>
    </row>
    <row r="50" spans="1:13" x14ac:dyDescent="0.3">
      <c r="A50" s="12" t="s">
        <v>484</v>
      </c>
      <c r="B50" s="5" t="s">
        <v>91</v>
      </c>
      <c r="C50" s="5" t="s">
        <v>92</v>
      </c>
      <c r="D50" s="5" t="s">
        <v>485</v>
      </c>
      <c r="E50" s="5" t="s">
        <v>486</v>
      </c>
      <c r="F50" s="5" t="s">
        <v>180</v>
      </c>
      <c r="G50" s="5" t="s">
        <v>281</v>
      </c>
      <c r="H50" s="5" t="s">
        <v>487</v>
      </c>
      <c r="I50" s="5" t="s">
        <v>488</v>
      </c>
      <c r="J50" s="5" t="s">
        <v>489</v>
      </c>
      <c r="K50" s="5" t="s">
        <v>490</v>
      </c>
      <c r="L50" s="5">
        <v>8000</v>
      </c>
      <c r="M50" s="14">
        <v>6292</v>
      </c>
    </row>
    <row r="51" spans="1:13" x14ac:dyDescent="0.3">
      <c r="A51" s="13" t="s">
        <v>491</v>
      </c>
      <c r="B51" s="8" t="s">
        <v>96</v>
      </c>
      <c r="C51" s="8" t="s">
        <v>97</v>
      </c>
      <c r="D51" s="8" t="s">
        <v>492</v>
      </c>
      <c r="E51" s="8" t="s">
        <v>424</v>
      </c>
      <c r="F51" s="8" t="s">
        <v>216</v>
      </c>
      <c r="G51" s="8" t="s">
        <v>244</v>
      </c>
      <c r="H51" s="8" t="s">
        <v>351</v>
      </c>
      <c r="I51" s="8" t="s">
        <v>493</v>
      </c>
      <c r="J51" s="8" t="s">
        <v>494</v>
      </c>
      <c r="K51" s="8"/>
      <c r="L51" s="8">
        <v>1500</v>
      </c>
      <c r="M51" s="15">
        <v>0</v>
      </c>
    </row>
    <row r="52" spans="1:13" x14ac:dyDescent="0.3">
      <c r="A52" s="12" t="s">
        <v>495</v>
      </c>
      <c r="B52" s="5" t="s">
        <v>101</v>
      </c>
      <c r="C52" s="5" t="s">
        <v>102</v>
      </c>
      <c r="D52" s="5" t="s">
        <v>496</v>
      </c>
      <c r="E52" s="5" t="s">
        <v>177</v>
      </c>
      <c r="F52" s="5" t="s">
        <v>161</v>
      </c>
      <c r="G52" s="5" t="s">
        <v>250</v>
      </c>
      <c r="H52" s="5" t="s">
        <v>356</v>
      </c>
      <c r="I52" s="5" t="s">
        <v>497</v>
      </c>
      <c r="J52" s="5" t="s">
        <v>498</v>
      </c>
      <c r="K52" s="5" t="s">
        <v>499</v>
      </c>
      <c r="L52" s="5">
        <v>2000</v>
      </c>
      <c r="M52" s="14">
        <v>2236</v>
      </c>
    </row>
    <row r="53" spans="1:13" x14ac:dyDescent="0.3">
      <c r="A53" s="13" t="s">
        <v>500</v>
      </c>
      <c r="B53" s="8" t="s">
        <v>86</v>
      </c>
      <c r="C53" s="8" t="s">
        <v>87</v>
      </c>
      <c r="D53" s="8" t="s">
        <v>280</v>
      </c>
      <c r="E53" s="8" t="s">
        <v>206</v>
      </c>
      <c r="F53" s="8" t="s">
        <v>224</v>
      </c>
      <c r="G53" s="8" t="s">
        <v>275</v>
      </c>
      <c r="H53" s="8" t="s">
        <v>302</v>
      </c>
      <c r="I53" s="8" t="s">
        <v>501</v>
      </c>
      <c r="J53" s="8" t="s">
        <v>502</v>
      </c>
      <c r="K53" s="8"/>
      <c r="L53" s="8">
        <v>3000</v>
      </c>
      <c r="M53" s="15">
        <v>2365</v>
      </c>
    </row>
    <row r="54" spans="1:13" x14ac:dyDescent="0.3">
      <c r="A54" s="12" t="s">
        <v>503</v>
      </c>
      <c r="B54" s="5" t="s">
        <v>133</v>
      </c>
      <c r="C54" s="5" t="s">
        <v>134</v>
      </c>
      <c r="D54" s="5" t="s">
        <v>504</v>
      </c>
      <c r="E54" s="5" t="s">
        <v>439</v>
      </c>
      <c r="F54" s="5" t="s">
        <v>505</v>
      </c>
      <c r="G54" s="5" t="s">
        <v>264</v>
      </c>
      <c r="H54" s="5" t="s">
        <v>356</v>
      </c>
      <c r="I54" s="5" t="s">
        <v>506</v>
      </c>
      <c r="J54" s="5" t="s">
        <v>507</v>
      </c>
      <c r="K54" s="5" t="s">
        <v>507</v>
      </c>
      <c r="L54" s="5">
        <v>5000</v>
      </c>
      <c r="M54" s="14">
        <v>5016</v>
      </c>
    </row>
    <row r="55" spans="1:13" x14ac:dyDescent="0.3">
      <c r="A55" s="13" t="s">
        <v>508</v>
      </c>
      <c r="B55" s="8" t="s">
        <v>96</v>
      </c>
      <c r="C55" s="8" t="s">
        <v>97</v>
      </c>
      <c r="D55" s="8" t="s">
        <v>306</v>
      </c>
      <c r="E55" s="8" t="s">
        <v>219</v>
      </c>
      <c r="F55" s="8" t="s">
        <v>190</v>
      </c>
      <c r="G55" s="8" t="s">
        <v>509</v>
      </c>
      <c r="H55" s="8" t="s">
        <v>487</v>
      </c>
      <c r="I55" s="8" t="s">
        <v>510</v>
      </c>
      <c r="J55" s="8" t="s">
        <v>511</v>
      </c>
      <c r="K55" s="8" t="s">
        <v>512</v>
      </c>
      <c r="L55" s="8">
        <v>5000</v>
      </c>
      <c r="M55" s="15">
        <v>4686</v>
      </c>
    </row>
    <row r="56" spans="1:13" x14ac:dyDescent="0.3">
      <c r="A56" s="12" t="s">
        <v>513</v>
      </c>
      <c r="B56" s="5" t="s">
        <v>122</v>
      </c>
      <c r="C56" s="5" t="s">
        <v>123</v>
      </c>
      <c r="D56" s="5" t="s">
        <v>514</v>
      </c>
      <c r="E56" s="5" t="s">
        <v>256</v>
      </c>
      <c r="F56" s="5" t="s">
        <v>203</v>
      </c>
      <c r="G56" s="5" t="s">
        <v>237</v>
      </c>
      <c r="H56" s="5" t="s">
        <v>319</v>
      </c>
      <c r="I56" s="5" t="s">
        <v>497</v>
      </c>
      <c r="J56" s="5" t="s">
        <v>515</v>
      </c>
      <c r="K56" s="5"/>
      <c r="L56" s="5">
        <v>4000</v>
      </c>
      <c r="M56" s="14">
        <v>3074</v>
      </c>
    </row>
    <row r="57" spans="1:13" x14ac:dyDescent="0.3">
      <c r="A57" s="13" t="s">
        <v>516</v>
      </c>
      <c r="B57" s="8" t="s">
        <v>133</v>
      </c>
      <c r="C57" s="8" t="s">
        <v>134</v>
      </c>
      <c r="D57" s="8" t="s">
        <v>517</v>
      </c>
      <c r="E57" s="8" t="s">
        <v>150</v>
      </c>
      <c r="F57" s="8" t="s">
        <v>158</v>
      </c>
      <c r="G57" s="8" t="s">
        <v>244</v>
      </c>
      <c r="H57" s="8" t="s">
        <v>294</v>
      </c>
      <c r="I57" s="8" t="s">
        <v>518</v>
      </c>
      <c r="J57" s="8" t="s">
        <v>519</v>
      </c>
      <c r="K57" s="8" t="s">
        <v>520</v>
      </c>
      <c r="L57" s="8">
        <v>5000</v>
      </c>
      <c r="M57" s="15">
        <v>6706</v>
      </c>
    </row>
    <row r="58" spans="1:13" x14ac:dyDescent="0.3">
      <c r="A58" s="12" t="s">
        <v>521</v>
      </c>
      <c r="B58" s="5" t="s">
        <v>129</v>
      </c>
      <c r="C58" s="5" t="s">
        <v>130</v>
      </c>
      <c r="D58" s="5" t="s">
        <v>522</v>
      </c>
      <c r="E58" s="5" t="s">
        <v>164</v>
      </c>
      <c r="F58" s="5" t="s">
        <v>216</v>
      </c>
      <c r="G58" s="5" t="s">
        <v>281</v>
      </c>
      <c r="H58" s="5" t="s">
        <v>356</v>
      </c>
      <c r="I58" s="5" t="s">
        <v>353</v>
      </c>
      <c r="J58" s="5" t="s">
        <v>523</v>
      </c>
      <c r="K58" s="5" t="s">
        <v>524</v>
      </c>
      <c r="L58" s="5">
        <v>1500</v>
      </c>
      <c r="M58" s="14">
        <v>2080</v>
      </c>
    </row>
    <row r="59" spans="1:13" x14ac:dyDescent="0.3">
      <c r="A59" s="13" t="s">
        <v>525</v>
      </c>
      <c r="B59" s="8" t="s">
        <v>91</v>
      </c>
      <c r="C59" s="8" t="s">
        <v>92</v>
      </c>
      <c r="D59" s="8" t="s">
        <v>526</v>
      </c>
      <c r="E59" s="8" t="s">
        <v>410</v>
      </c>
      <c r="F59" s="8" t="s">
        <v>169</v>
      </c>
      <c r="G59" s="8" t="s">
        <v>301</v>
      </c>
      <c r="H59" s="8" t="s">
        <v>319</v>
      </c>
      <c r="I59" s="8" t="s">
        <v>527</v>
      </c>
      <c r="J59" s="8" t="s">
        <v>528</v>
      </c>
      <c r="K59" s="8"/>
      <c r="L59" s="8">
        <v>3000</v>
      </c>
      <c r="M59" s="15">
        <v>647</v>
      </c>
    </row>
    <row r="60" spans="1:13" x14ac:dyDescent="0.3">
      <c r="A60" s="12" t="s">
        <v>529</v>
      </c>
      <c r="B60" s="5" t="s">
        <v>126</v>
      </c>
      <c r="C60" s="5" t="s">
        <v>127</v>
      </c>
      <c r="D60" s="5" t="s">
        <v>355</v>
      </c>
      <c r="E60" s="5" t="s">
        <v>446</v>
      </c>
      <c r="F60" s="5" t="s">
        <v>205</v>
      </c>
      <c r="G60" s="5" t="s">
        <v>293</v>
      </c>
      <c r="H60" s="5" t="s">
        <v>294</v>
      </c>
      <c r="I60" s="5" t="s">
        <v>435</v>
      </c>
      <c r="J60" s="5" t="s">
        <v>436</v>
      </c>
      <c r="K60" s="5" t="s">
        <v>530</v>
      </c>
      <c r="L60" s="5">
        <v>8000</v>
      </c>
      <c r="M60" s="14">
        <v>9484</v>
      </c>
    </row>
    <row r="61" spans="1:13" x14ac:dyDescent="0.3">
      <c r="A61" s="13" t="s">
        <v>531</v>
      </c>
      <c r="B61" s="8" t="s">
        <v>136</v>
      </c>
      <c r="C61" s="8" t="s">
        <v>137</v>
      </c>
      <c r="D61" s="8" t="s">
        <v>532</v>
      </c>
      <c r="E61" s="8" t="s">
        <v>533</v>
      </c>
      <c r="F61" s="8" t="s">
        <v>224</v>
      </c>
      <c r="G61" s="8" t="s">
        <v>509</v>
      </c>
      <c r="H61" s="8" t="s">
        <v>324</v>
      </c>
      <c r="I61" s="8" t="s">
        <v>534</v>
      </c>
      <c r="J61" s="8" t="s">
        <v>535</v>
      </c>
      <c r="K61" s="8" t="s">
        <v>535</v>
      </c>
      <c r="L61" s="8">
        <v>4000</v>
      </c>
      <c r="M61" s="15">
        <v>4446</v>
      </c>
    </row>
    <row r="62" spans="1:13" x14ac:dyDescent="0.3">
      <c r="A62" s="12" t="s">
        <v>536</v>
      </c>
      <c r="B62" s="5" t="s">
        <v>136</v>
      </c>
      <c r="C62" s="5" t="s">
        <v>137</v>
      </c>
      <c r="D62" s="5" t="s">
        <v>537</v>
      </c>
      <c r="E62" s="5" t="s">
        <v>538</v>
      </c>
      <c r="F62" s="5" t="s">
        <v>224</v>
      </c>
      <c r="G62" s="5" t="s">
        <v>250</v>
      </c>
      <c r="H62" s="5" t="s">
        <v>245</v>
      </c>
      <c r="I62" s="5" t="s">
        <v>539</v>
      </c>
      <c r="J62" s="5" t="s">
        <v>540</v>
      </c>
      <c r="K62" s="5"/>
      <c r="L62" s="5">
        <v>8000</v>
      </c>
      <c r="M62" s="14">
        <v>2966</v>
      </c>
    </row>
    <row r="63" spans="1:13" x14ac:dyDescent="0.3">
      <c r="A63" s="13" t="s">
        <v>541</v>
      </c>
      <c r="B63" s="8" t="s">
        <v>96</v>
      </c>
      <c r="C63" s="8" t="s">
        <v>97</v>
      </c>
      <c r="D63" s="8" t="s">
        <v>542</v>
      </c>
      <c r="E63" s="8" t="s">
        <v>292</v>
      </c>
      <c r="F63" s="8" t="s">
        <v>158</v>
      </c>
      <c r="G63" s="8" t="s">
        <v>237</v>
      </c>
      <c r="H63" s="8" t="s">
        <v>294</v>
      </c>
      <c r="I63" s="8" t="s">
        <v>543</v>
      </c>
      <c r="J63" s="8" t="s">
        <v>544</v>
      </c>
      <c r="K63" s="8" t="s">
        <v>545</v>
      </c>
      <c r="L63" s="8">
        <v>1500</v>
      </c>
      <c r="M63" s="15">
        <v>1412</v>
      </c>
    </row>
    <row r="64" spans="1:13" x14ac:dyDescent="0.3">
      <c r="A64" s="12" t="s">
        <v>546</v>
      </c>
      <c r="B64" s="5"/>
      <c r="C64" s="5"/>
      <c r="D64" s="5" t="s">
        <v>361</v>
      </c>
      <c r="E64" s="5"/>
      <c r="F64" s="5"/>
      <c r="G64" s="5"/>
      <c r="H64" s="5"/>
      <c r="I64" s="5"/>
      <c r="J64" s="5"/>
      <c r="K64" s="5"/>
      <c r="L64" s="5"/>
      <c r="M64" s="14"/>
    </row>
    <row r="65" spans="1:13" x14ac:dyDescent="0.3">
      <c r="A65" s="13" t="s">
        <v>547</v>
      </c>
      <c r="B65" s="8" t="s">
        <v>136</v>
      </c>
      <c r="C65" s="8" t="s">
        <v>137</v>
      </c>
      <c r="D65" s="8" t="s">
        <v>548</v>
      </c>
      <c r="E65" s="8" t="s">
        <v>307</v>
      </c>
      <c r="F65" s="8" t="s">
        <v>172</v>
      </c>
      <c r="G65" s="8" t="s">
        <v>237</v>
      </c>
      <c r="H65" s="8" t="s">
        <v>238</v>
      </c>
      <c r="I65" s="8" t="s">
        <v>549</v>
      </c>
      <c r="J65" s="8" t="s">
        <v>550</v>
      </c>
      <c r="K65" s="8" t="s">
        <v>551</v>
      </c>
      <c r="L65" s="8">
        <v>1500</v>
      </c>
      <c r="M65" s="15">
        <v>1497</v>
      </c>
    </row>
    <row r="66" spans="1:13" x14ac:dyDescent="0.3">
      <c r="A66" s="12" t="s">
        <v>552</v>
      </c>
      <c r="B66" s="5" t="s">
        <v>140</v>
      </c>
      <c r="C66" s="5" t="s">
        <v>141</v>
      </c>
      <c r="D66" s="5" t="s">
        <v>553</v>
      </c>
      <c r="E66" s="5" t="s">
        <v>236</v>
      </c>
      <c r="F66" s="5" t="s">
        <v>218</v>
      </c>
      <c r="G66" s="5" t="s">
        <v>318</v>
      </c>
      <c r="H66" s="5" t="s">
        <v>356</v>
      </c>
      <c r="I66" s="5" t="s">
        <v>554</v>
      </c>
      <c r="J66" s="5" t="s">
        <v>555</v>
      </c>
      <c r="K66" s="5" t="s">
        <v>556</v>
      </c>
      <c r="L66" s="5">
        <v>3000</v>
      </c>
      <c r="M66" s="14">
        <v>2936</v>
      </c>
    </row>
    <row r="67" spans="1:13" x14ac:dyDescent="0.3">
      <c r="A67" s="13" t="s">
        <v>557</v>
      </c>
      <c r="B67" s="8" t="s">
        <v>133</v>
      </c>
      <c r="C67" s="8" t="s">
        <v>134</v>
      </c>
      <c r="D67" s="8" t="s">
        <v>558</v>
      </c>
      <c r="E67" s="8" t="s">
        <v>486</v>
      </c>
      <c r="F67" s="8" t="s">
        <v>155</v>
      </c>
      <c r="G67" s="8" t="s">
        <v>509</v>
      </c>
      <c r="H67" s="8" t="s">
        <v>324</v>
      </c>
      <c r="I67" s="8" t="s">
        <v>315</v>
      </c>
      <c r="J67" s="8" t="s">
        <v>559</v>
      </c>
      <c r="K67" s="8" t="s">
        <v>559</v>
      </c>
      <c r="L67" s="8">
        <v>2000</v>
      </c>
      <c r="M67" s="15">
        <v>2777</v>
      </c>
    </row>
    <row r="68" spans="1:13" x14ac:dyDescent="0.3">
      <c r="A68" s="12" t="s">
        <v>560</v>
      </c>
      <c r="B68" s="5" t="s">
        <v>81</v>
      </c>
      <c r="C68" s="5" t="s">
        <v>82</v>
      </c>
      <c r="D68" s="5" t="s">
        <v>561</v>
      </c>
      <c r="E68" s="5" t="s">
        <v>197</v>
      </c>
      <c r="F68" s="5" t="s">
        <v>163</v>
      </c>
      <c r="G68" s="5" t="s">
        <v>301</v>
      </c>
      <c r="H68" s="5" t="s">
        <v>440</v>
      </c>
      <c r="I68" s="5" t="s">
        <v>562</v>
      </c>
      <c r="J68" s="5" t="s">
        <v>563</v>
      </c>
      <c r="K68" s="5" t="s">
        <v>564</v>
      </c>
      <c r="L68" s="5">
        <v>5000</v>
      </c>
      <c r="M68" s="14">
        <v>6659</v>
      </c>
    </row>
    <row r="69" spans="1:13" x14ac:dyDescent="0.3">
      <c r="A69" s="13" t="s">
        <v>565</v>
      </c>
      <c r="B69" s="8" t="s">
        <v>140</v>
      </c>
      <c r="C69" s="8" t="s">
        <v>141</v>
      </c>
      <c r="D69" s="8" t="s">
        <v>566</v>
      </c>
      <c r="E69" s="8" t="s">
        <v>256</v>
      </c>
      <c r="F69" s="8" t="s">
        <v>155</v>
      </c>
      <c r="G69" s="8" t="s">
        <v>364</v>
      </c>
      <c r="H69" s="8" t="s">
        <v>245</v>
      </c>
      <c r="I69" s="8" t="s">
        <v>567</v>
      </c>
      <c r="J69" s="8" t="s">
        <v>568</v>
      </c>
      <c r="K69" s="8"/>
      <c r="L69" s="8">
        <v>1500</v>
      </c>
      <c r="M69" s="15">
        <v>408</v>
      </c>
    </row>
    <row r="70" spans="1:13" x14ac:dyDescent="0.3">
      <c r="A70" s="12" t="s">
        <v>569</v>
      </c>
      <c r="B70" s="5" t="s">
        <v>81</v>
      </c>
      <c r="C70" s="5" t="s">
        <v>82</v>
      </c>
      <c r="D70" s="5" t="s">
        <v>243</v>
      </c>
      <c r="E70" s="5" t="s">
        <v>249</v>
      </c>
      <c r="F70" s="5"/>
      <c r="G70" s="5" t="s">
        <v>293</v>
      </c>
      <c r="H70" s="5" t="s">
        <v>319</v>
      </c>
      <c r="I70" s="5" t="s">
        <v>570</v>
      </c>
      <c r="J70" s="5" t="s">
        <v>571</v>
      </c>
      <c r="K70" s="5"/>
      <c r="L70" s="5">
        <v>3000</v>
      </c>
      <c r="M70" s="14">
        <v>992</v>
      </c>
    </row>
    <row r="71" spans="1:13" x14ac:dyDescent="0.3">
      <c r="A71" s="13" t="s">
        <v>572</v>
      </c>
      <c r="B71" s="8" t="s">
        <v>136</v>
      </c>
      <c r="C71" s="8" t="s">
        <v>137</v>
      </c>
      <c r="D71" s="8" t="s">
        <v>573</v>
      </c>
      <c r="E71" s="8" t="s">
        <v>256</v>
      </c>
      <c r="F71" s="8" t="s">
        <v>205</v>
      </c>
      <c r="G71" s="8" t="s">
        <v>264</v>
      </c>
      <c r="H71" s="8" t="s">
        <v>365</v>
      </c>
      <c r="I71" s="8" t="s">
        <v>574</v>
      </c>
      <c r="J71" s="8" t="s">
        <v>575</v>
      </c>
      <c r="K71" s="8" t="s">
        <v>576</v>
      </c>
      <c r="L71" s="8">
        <v>6000</v>
      </c>
      <c r="M71" s="15">
        <v>6093</v>
      </c>
    </row>
    <row r="72" spans="1:13" x14ac:dyDescent="0.3">
      <c r="A72" s="12" t="s">
        <v>577</v>
      </c>
      <c r="B72" s="5" t="s">
        <v>133</v>
      </c>
      <c r="C72" s="5" t="s">
        <v>134</v>
      </c>
      <c r="D72" s="5" t="s">
        <v>578</v>
      </c>
      <c r="E72" s="5" t="s">
        <v>335</v>
      </c>
      <c r="F72" s="5" t="s">
        <v>153</v>
      </c>
      <c r="G72" s="5" t="s">
        <v>275</v>
      </c>
      <c r="H72" s="5" t="s">
        <v>294</v>
      </c>
      <c r="I72" s="5" t="s">
        <v>579</v>
      </c>
      <c r="J72" s="5" t="s">
        <v>580</v>
      </c>
      <c r="K72" s="5" t="s">
        <v>580</v>
      </c>
      <c r="L72" s="5">
        <v>1000</v>
      </c>
      <c r="M72" s="14">
        <v>1071</v>
      </c>
    </row>
    <row r="73" spans="1:13" x14ac:dyDescent="0.3">
      <c r="A73" s="13" t="s">
        <v>581</v>
      </c>
      <c r="B73" s="8" t="s">
        <v>126</v>
      </c>
      <c r="C73" s="8" t="s">
        <v>127</v>
      </c>
      <c r="D73" s="8" t="s">
        <v>582</v>
      </c>
      <c r="E73" s="8" t="s">
        <v>538</v>
      </c>
      <c r="F73" s="8" t="s">
        <v>186</v>
      </c>
      <c r="G73" s="8" t="s">
        <v>244</v>
      </c>
      <c r="H73" s="8" t="s">
        <v>269</v>
      </c>
      <c r="I73" s="8" t="s">
        <v>583</v>
      </c>
      <c r="J73" s="8" t="s">
        <v>584</v>
      </c>
      <c r="K73" s="8" t="s">
        <v>585</v>
      </c>
      <c r="L73" s="8">
        <v>4000</v>
      </c>
      <c r="M73" s="15">
        <v>3554</v>
      </c>
    </row>
    <row r="74" spans="1:13" x14ac:dyDescent="0.3">
      <c r="A74" s="12" t="s">
        <v>586</v>
      </c>
      <c r="B74" s="5" t="s">
        <v>122</v>
      </c>
      <c r="C74" s="5" t="s">
        <v>123</v>
      </c>
      <c r="D74" s="5" t="s">
        <v>587</v>
      </c>
      <c r="E74" s="5" t="s">
        <v>410</v>
      </c>
      <c r="F74" s="5" t="s">
        <v>163</v>
      </c>
      <c r="G74" s="5" t="s">
        <v>281</v>
      </c>
      <c r="H74" s="5" t="s">
        <v>294</v>
      </c>
      <c r="I74" s="5" t="s">
        <v>588</v>
      </c>
      <c r="J74" s="5" t="s">
        <v>589</v>
      </c>
      <c r="K74" s="5" t="s">
        <v>589</v>
      </c>
      <c r="L74" s="5">
        <v>2000</v>
      </c>
      <c r="M74" s="14">
        <v>1896</v>
      </c>
    </row>
    <row r="75" spans="1:13" x14ac:dyDescent="0.3">
      <c r="A75" s="13" t="s">
        <v>590</v>
      </c>
      <c r="B75" s="8" t="s">
        <v>122</v>
      </c>
      <c r="C75" s="8" t="s">
        <v>123</v>
      </c>
      <c r="D75" s="8" t="s">
        <v>591</v>
      </c>
      <c r="E75" s="8" t="s">
        <v>313</v>
      </c>
      <c r="F75" s="8" t="s">
        <v>180</v>
      </c>
      <c r="G75" s="8" t="s">
        <v>509</v>
      </c>
      <c r="H75" s="8" t="s">
        <v>592</v>
      </c>
      <c r="I75" s="8" t="s">
        <v>593</v>
      </c>
      <c r="J75" s="8" t="s">
        <v>594</v>
      </c>
      <c r="K75" s="8"/>
      <c r="L75" s="8">
        <v>8000</v>
      </c>
      <c r="M75" s="15">
        <v>0</v>
      </c>
    </row>
    <row r="76" spans="1:13" x14ac:dyDescent="0.3">
      <c r="A76" s="12" t="s">
        <v>595</v>
      </c>
      <c r="B76" s="5" t="s">
        <v>118</v>
      </c>
      <c r="C76" s="5" t="s">
        <v>119</v>
      </c>
      <c r="D76" s="5" t="s">
        <v>596</v>
      </c>
      <c r="E76" s="5"/>
      <c r="F76" s="5" t="s">
        <v>167</v>
      </c>
      <c r="G76" s="5" t="s">
        <v>281</v>
      </c>
      <c r="H76" s="5" t="s">
        <v>245</v>
      </c>
      <c r="I76" s="5" t="s">
        <v>597</v>
      </c>
      <c r="J76" s="5" t="s">
        <v>598</v>
      </c>
      <c r="K76" s="5"/>
      <c r="L76" s="5">
        <v>1500</v>
      </c>
      <c r="M76" s="14">
        <v>312</v>
      </c>
    </row>
    <row r="77" spans="1:13" x14ac:dyDescent="0.3">
      <c r="A77" s="13" t="s">
        <v>599</v>
      </c>
      <c r="B77" s="8" t="s">
        <v>91</v>
      </c>
      <c r="C77" s="8" t="s">
        <v>92</v>
      </c>
      <c r="D77" s="8" t="s">
        <v>600</v>
      </c>
      <c r="E77" s="8" t="s">
        <v>467</v>
      </c>
      <c r="F77" s="8" t="s">
        <v>193</v>
      </c>
      <c r="G77" s="8" t="s">
        <v>257</v>
      </c>
      <c r="H77" s="8" t="s">
        <v>294</v>
      </c>
      <c r="I77" s="8" t="s">
        <v>601</v>
      </c>
      <c r="J77" s="8" t="s">
        <v>602</v>
      </c>
      <c r="K77" s="8" t="s">
        <v>272</v>
      </c>
      <c r="L77" s="8">
        <v>6000</v>
      </c>
      <c r="M77" s="15">
        <v>8270</v>
      </c>
    </row>
    <row r="78" spans="1:13" x14ac:dyDescent="0.3">
      <c r="A78" s="12" t="s">
        <v>603</v>
      </c>
      <c r="B78" s="5" t="s">
        <v>126</v>
      </c>
      <c r="C78" s="5" t="s">
        <v>127</v>
      </c>
      <c r="D78" s="5" t="s">
        <v>604</v>
      </c>
      <c r="E78" s="5" t="s">
        <v>446</v>
      </c>
      <c r="F78" s="5" t="s">
        <v>209</v>
      </c>
      <c r="G78" s="5" t="s">
        <v>301</v>
      </c>
      <c r="H78" s="5" t="s">
        <v>365</v>
      </c>
      <c r="I78" s="5" t="s">
        <v>605</v>
      </c>
      <c r="J78" s="5" t="s">
        <v>606</v>
      </c>
      <c r="K78" s="5" t="s">
        <v>606</v>
      </c>
      <c r="L78" s="5">
        <v>2500</v>
      </c>
      <c r="M78" s="14">
        <v>3495</v>
      </c>
    </row>
    <row r="79" spans="1:13" x14ac:dyDescent="0.3">
      <c r="A79" s="13" t="s">
        <v>444</v>
      </c>
      <c r="B79" s="8" t="s">
        <v>122</v>
      </c>
      <c r="C79" s="8" t="s">
        <v>123</v>
      </c>
      <c r="D79" s="8" t="s">
        <v>445</v>
      </c>
      <c r="E79" s="8" t="s">
        <v>446</v>
      </c>
      <c r="F79" s="8" t="s">
        <v>167</v>
      </c>
      <c r="G79" s="8" t="s">
        <v>237</v>
      </c>
      <c r="H79" s="8" t="s">
        <v>251</v>
      </c>
      <c r="I79" s="8" t="s">
        <v>447</v>
      </c>
      <c r="J79" s="8" t="s">
        <v>421</v>
      </c>
      <c r="K79" s="8"/>
      <c r="L79" s="8">
        <v>3000</v>
      </c>
      <c r="M79" s="15">
        <v>1021</v>
      </c>
    </row>
    <row r="80" spans="1:13" x14ac:dyDescent="0.3">
      <c r="A80" s="12" t="s">
        <v>607</v>
      </c>
      <c r="B80" s="5" t="s">
        <v>122</v>
      </c>
      <c r="C80" s="5" t="s">
        <v>123</v>
      </c>
      <c r="D80" s="5" t="s">
        <v>608</v>
      </c>
      <c r="E80" s="5" t="s">
        <v>197</v>
      </c>
      <c r="F80" s="5" t="s">
        <v>183</v>
      </c>
      <c r="G80" s="5" t="s">
        <v>350</v>
      </c>
      <c r="H80" s="5" t="s">
        <v>319</v>
      </c>
      <c r="I80" s="5" t="s">
        <v>609</v>
      </c>
      <c r="J80" s="5" t="s">
        <v>610</v>
      </c>
      <c r="K80" s="5"/>
      <c r="L80" s="5">
        <v>1000</v>
      </c>
      <c r="M80" s="14">
        <v>483</v>
      </c>
    </row>
    <row r="81" spans="1:13" x14ac:dyDescent="0.3">
      <c r="A81" s="13" t="s">
        <v>611</v>
      </c>
      <c r="B81" s="8" t="s">
        <v>140</v>
      </c>
      <c r="C81" s="8" t="s">
        <v>141</v>
      </c>
      <c r="D81" s="8" t="s">
        <v>612</v>
      </c>
      <c r="E81" s="8" t="s">
        <v>177</v>
      </c>
      <c r="F81" s="8" t="s">
        <v>216</v>
      </c>
      <c r="G81" s="8" t="s">
        <v>237</v>
      </c>
      <c r="H81" s="8" t="s">
        <v>365</v>
      </c>
      <c r="I81" s="8" t="s">
        <v>613</v>
      </c>
      <c r="J81" s="8" t="s">
        <v>614</v>
      </c>
      <c r="K81" s="8" t="s">
        <v>615</v>
      </c>
      <c r="L81" s="8">
        <v>3000</v>
      </c>
      <c r="M81" s="15">
        <v>2484</v>
      </c>
    </row>
    <row r="82" spans="1:13" x14ac:dyDescent="0.3">
      <c r="A82" s="12" t="s">
        <v>616</v>
      </c>
      <c r="B82" s="5" t="s">
        <v>113</v>
      </c>
      <c r="C82" s="5" t="s">
        <v>114</v>
      </c>
      <c r="D82" s="5" t="s">
        <v>617</v>
      </c>
      <c r="E82" s="5" t="s">
        <v>292</v>
      </c>
      <c r="F82" s="5" t="s">
        <v>205</v>
      </c>
      <c r="G82" s="5" t="s">
        <v>281</v>
      </c>
      <c r="H82" s="5" t="s">
        <v>356</v>
      </c>
      <c r="I82" s="5" t="s">
        <v>618</v>
      </c>
      <c r="J82" s="5" t="s">
        <v>619</v>
      </c>
      <c r="K82" s="5" t="s">
        <v>620</v>
      </c>
      <c r="L82" s="5">
        <v>8000</v>
      </c>
      <c r="M82" s="14">
        <v>6121</v>
      </c>
    </row>
    <row r="83" spans="1:13" x14ac:dyDescent="0.3">
      <c r="A83" s="13" t="s">
        <v>621</v>
      </c>
      <c r="B83" s="8" t="s">
        <v>105</v>
      </c>
      <c r="C83" s="8" t="s">
        <v>106</v>
      </c>
      <c r="D83" s="8" t="s">
        <v>622</v>
      </c>
      <c r="E83" s="8" t="s">
        <v>206</v>
      </c>
      <c r="F83" s="8" t="s">
        <v>149</v>
      </c>
      <c r="G83" s="8" t="s">
        <v>244</v>
      </c>
      <c r="H83" s="8" t="s">
        <v>356</v>
      </c>
      <c r="I83" s="8" t="s">
        <v>623</v>
      </c>
      <c r="J83" s="8" t="s">
        <v>371</v>
      </c>
      <c r="K83" s="8" t="s">
        <v>246</v>
      </c>
      <c r="L83" s="8">
        <v>1000</v>
      </c>
      <c r="M83" s="15">
        <v>1278</v>
      </c>
    </row>
    <row r="84" spans="1:13" x14ac:dyDescent="0.3">
      <c r="A84" s="12" t="s">
        <v>624</v>
      </c>
      <c r="B84" s="5" t="s">
        <v>136</v>
      </c>
      <c r="C84" s="5" t="s">
        <v>137</v>
      </c>
      <c r="D84" s="5" t="s">
        <v>625</v>
      </c>
      <c r="E84" s="5" t="s">
        <v>410</v>
      </c>
      <c r="F84" s="5" t="s">
        <v>196</v>
      </c>
      <c r="G84" s="5" t="s">
        <v>301</v>
      </c>
      <c r="H84" s="5" t="s">
        <v>440</v>
      </c>
      <c r="I84" s="5" t="s">
        <v>626</v>
      </c>
      <c r="J84" s="5" t="s">
        <v>627</v>
      </c>
      <c r="K84" s="5" t="s">
        <v>628</v>
      </c>
      <c r="L84" s="5">
        <v>2000</v>
      </c>
      <c r="M84" s="14">
        <v>2272</v>
      </c>
    </row>
    <row r="85" spans="1:13" x14ac:dyDescent="0.3">
      <c r="A85" s="13" t="s">
        <v>629</v>
      </c>
      <c r="B85" s="8" t="s">
        <v>109</v>
      </c>
      <c r="C85" s="8" t="s">
        <v>110</v>
      </c>
      <c r="D85" s="8" t="s">
        <v>630</v>
      </c>
      <c r="E85" s="8" t="s">
        <v>446</v>
      </c>
      <c r="F85" s="8" t="s">
        <v>176</v>
      </c>
      <c r="G85" s="8" t="s">
        <v>293</v>
      </c>
      <c r="H85" s="8" t="s">
        <v>430</v>
      </c>
      <c r="I85" s="8" t="s">
        <v>631</v>
      </c>
      <c r="J85" s="8" t="s">
        <v>632</v>
      </c>
      <c r="K85" s="8"/>
      <c r="L85" s="8">
        <v>2500</v>
      </c>
      <c r="M85" s="15">
        <v>0</v>
      </c>
    </row>
    <row r="86" spans="1:13" x14ac:dyDescent="0.3">
      <c r="A86" s="12" t="s">
        <v>633</v>
      </c>
      <c r="B86" s="5" t="s">
        <v>96</v>
      </c>
      <c r="C86" s="5" t="s">
        <v>97</v>
      </c>
      <c r="D86" s="5" t="s">
        <v>634</v>
      </c>
      <c r="E86" s="5" t="s">
        <v>187</v>
      </c>
      <c r="F86" s="5" t="s">
        <v>158</v>
      </c>
      <c r="G86" s="5" t="s">
        <v>244</v>
      </c>
      <c r="H86" s="5" t="s">
        <v>351</v>
      </c>
      <c r="I86" s="5" t="s">
        <v>635</v>
      </c>
      <c r="J86" s="5" t="s">
        <v>636</v>
      </c>
      <c r="K86" s="5"/>
      <c r="L86" s="5">
        <v>4000</v>
      </c>
      <c r="M86" s="14">
        <v>0</v>
      </c>
    </row>
    <row r="87" spans="1:13" x14ac:dyDescent="0.3">
      <c r="A87" s="13" t="s">
        <v>637</v>
      </c>
      <c r="B87" s="8" t="s">
        <v>105</v>
      </c>
      <c r="C87" s="8" t="s">
        <v>106</v>
      </c>
      <c r="D87" s="8" t="s">
        <v>638</v>
      </c>
      <c r="E87" s="8" t="s">
        <v>424</v>
      </c>
      <c r="F87" s="8" t="s">
        <v>169</v>
      </c>
      <c r="G87" s="8" t="s">
        <v>509</v>
      </c>
      <c r="H87" s="8" t="s">
        <v>430</v>
      </c>
      <c r="I87" s="8" t="s">
        <v>639</v>
      </c>
      <c r="J87" s="8" t="s">
        <v>498</v>
      </c>
      <c r="K87" s="8"/>
      <c r="L87" s="8">
        <v>8000</v>
      </c>
      <c r="M87" s="15">
        <v>0</v>
      </c>
    </row>
    <row r="88" spans="1:13" x14ac:dyDescent="0.3">
      <c r="A88" s="12" t="s">
        <v>640</v>
      </c>
      <c r="B88" s="5" t="s">
        <v>136</v>
      </c>
      <c r="C88" s="5" t="s">
        <v>137</v>
      </c>
      <c r="D88" s="5" t="s">
        <v>641</v>
      </c>
      <c r="E88" s="5" t="s">
        <v>249</v>
      </c>
      <c r="F88" s="5" t="s">
        <v>214</v>
      </c>
      <c r="G88" s="5" t="s">
        <v>250</v>
      </c>
      <c r="H88" s="5" t="s">
        <v>287</v>
      </c>
      <c r="I88" s="5" t="s">
        <v>436</v>
      </c>
      <c r="J88" s="5" t="s">
        <v>642</v>
      </c>
      <c r="K88" s="5"/>
      <c r="L88" s="5">
        <v>5000</v>
      </c>
      <c r="M88" s="14">
        <v>2964</v>
      </c>
    </row>
    <row r="89" spans="1:13" x14ac:dyDescent="0.3">
      <c r="A89" s="13" t="s">
        <v>643</v>
      </c>
      <c r="B89" s="8" t="s">
        <v>91</v>
      </c>
      <c r="C89" s="8" t="s">
        <v>92</v>
      </c>
      <c r="D89" s="8" t="s">
        <v>644</v>
      </c>
      <c r="E89" s="8" t="s">
        <v>187</v>
      </c>
      <c r="F89" s="8"/>
      <c r="G89" s="8" t="s">
        <v>301</v>
      </c>
      <c r="H89" s="8" t="s">
        <v>430</v>
      </c>
      <c r="I89" s="8" t="s">
        <v>645</v>
      </c>
      <c r="J89" s="8" t="s">
        <v>646</v>
      </c>
      <c r="K89" s="8"/>
      <c r="L89" s="8">
        <v>8000</v>
      </c>
      <c r="M89" s="15"/>
    </row>
    <row r="90" spans="1:13" x14ac:dyDescent="0.3">
      <c r="A90" s="12" t="s">
        <v>647</v>
      </c>
      <c r="B90" s="5" t="s">
        <v>86</v>
      </c>
      <c r="C90" s="5" t="s">
        <v>87</v>
      </c>
      <c r="D90" s="5" t="s">
        <v>648</v>
      </c>
      <c r="E90" s="5" t="s">
        <v>300</v>
      </c>
      <c r="F90" s="5" t="s">
        <v>186</v>
      </c>
      <c r="G90" s="5" t="s">
        <v>364</v>
      </c>
      <c r="H90" s="5" t="s">
        <v>282</v>
      </c>
      <c r="I90" s="5" t="s">
        <v>649</v>
      </c>
      <c r="J90" s="5" t="s">
        <v>650</v>
      </c>
      <c r="K90" s="5"/>
      <c r="L90" s="5">
        <v>8000</v>
      </c>
      <c r="M90" s="14">
        <v>0</v>
      </c>
    </row>
    <row r="91" spans="1:13" x14ac:dyDescent="0.3">
      <c r="A91" s="13" t="s">
        <v>651</v>
      </c>
      <c r="B91" s="8" t="s">
        <v>133</v>
      </c>
      <c r="C91" s="8" t="s">
        <v>134</v>
      </c>
      <c r="D91" s="8" t="s">
        <v>532</v>
      </c>
      <c r="E91" s="8" t="s">
        <v>481</v>
      </c>
      <c r="F91" s="8" t="s">
        <v>205</v>
      </c>
      <c r="G91" s="8" t="s">
        <v>301</v>
      </c>
      <c r="H91" s="8" t="s">
        <v>245</v>
      </c>
      <c r="I91" s="8" t="s">
        <v>652</v>
      </c>
      <c r="J91" s="8" t="s">
        <v>653</v>
      </c>
      <c r="K91" s="8"/>
      <c r="L91" s="8">
        <v>5000</v>
      </c>
      <c r="M91" s="15">
        <v>2256</v>
      </c>
    </row>
    <row r="92" spans="1:13" x14ac:dyDescent="0.3">
      <c r="A92" s="12" t="s">
        <v>654</v>
      </c>
      <c r="B92" s="5" t="s">
        <v>91</v>
      </c>
      <c r="C92" s="5" t="s">
        <v>92</v>
      </c>
      <c r="D92" s="5" t="s">
        <v>263</v>
      </c>
      <c r="E92" s="5" t="s">
        <v>177</v>
      </c>
      <c r="F92" s="5" t="s">
        <v>222</v>
      </c>
      <c r="G92" s="5" t="s">
        <v>293</v>
      </c>
      <c r="H92" s="5" t="s">
        <v>251</v>
      </c>
      <c r="I92" s="5" t="s">
        <v>655</v>
      </c>
      <c r="J92" s="5" t="s">
        <v>656</v>
      </c>
      <c r="K92" s="5"/>
      <c r="L92" s="5">
        <v>2500</v>
      </c>
      <c r="M92" s="14">
        <v>1886</v>
      </c>
    </row>
    <row r="93" spans="1:13" x14ac:dyDescent="0.3">
      <c r="A93" s="13" t="s">
        <v>657</v>
      </c>
      <c r="B93" s="8" t="s">
        <v>133</v>
      </c>
      <c r="C93" s="8" t="s">
        <v>134</v>
      </c>
      <c r="D93" s="8" t="s">
        <v>658</v>
      </c>
      <c r="E93" s="8" t="s">
        <v>424</v>
      </c>
      <c r="F93" s="8" t="s">
        <v>163</v>
      </c>
      <c r="G93" s="8" t="s">
        <v>364</v>
      </c>
      <c r="H93" s="8" t="s">
        <v>356</v>
      </c>
      <c r="I93" s="8" t="s">
        <v>659</v>
      </c>
      <c r="J93" s="8" t="s">
        <v>660</v>
      </c>
      <c r="K93" s="8" t="s">
        <v>527</v>
      </c>
      <c r="L93" s="8">
        <v>4000</v>
      </c>
      <c r="M93" s="15">
        <v>4271</v>
      </c>
    </row>
    <row r="94" spans="1:13" x14ac:dyDescent="0.3">
      <c r="A94" s="12" t="s">
        <v>661</v>
      </c>
      <c r="B94" s="5" t="s">
        <v>126</v>
      </c>
      <c r="C94" s="5" t="s">
        <v>127</v>
      </c>
      <c r="D94" s="5" t="s">
        <v>662</v>
      </c>
      <c r="E94" s="5" t="s">
        <v>533</v>
      </c>
      <c r="F94" s="5" t="s">
        <v>216</v>
      </c>
      <c r="G94" s="5" t="s">
        <v>350</v>
      </c>
      <c r="H94" s="5" t="s">
        <v>319</v>
      </c>
      <c r="I94" s="5" t="s">
        <v>663</v>
      </c>
      <c r="J94" s="5" t="s">
        <v>664</v>
      </c>
      <c r="K94" s="5"/>
      <c r="L94" s="5">
        <v>4000</v>
      </c>
      <c r="M94" s="14">
        <v>2434</v>
      </c>
    </row>
    <row r="95" spans="1:13" x14ac:dyDescent="0.3">
      <c r="A95" s="13" t="s">
        <v>665</v>
      </c>
      <c r="B95" s="8" t="s">
        <v>109</v>
      </c>
      <c r="C95" s="8" t="s">
        <v>110</v>
      </c>
      <c r="D95" s="8" t="s">
        <v>666</v>
      </c>
      <c r="E95" s="8" t="s">
        <v>249</v>
      </c>
      <c r="F95" s="8" t="s">
        <v>203</v>
      </c>
      <c r="G95" s="8" t="s">
        <v>350</v>
      </c>
      <c r="H95" s="8" t="s">
        <v>430</v>
      </c>
      <c r="I95" s="8" t="s">
        <v>667</v>
      </c>
      <c r="J95" s="8" t="s">
        <v>649</v>
      </c>
      <c r="K95" s="8"/>
      <c r="L95" s="8">
        <v>2500</v>
      </c>
      <c r="M95" s="15">
        <v>0</v>
      </c>
    </row>
    <row r="96" spans="1:13" x14ac:dyDescent="0.3">
      <c r="A96" s="12" t="s">
        <v>668</v>
      </c>
      <c r="B96" s="5" t="s">
        <v>133</v>
      </c>
      <c r="C96" s="5" t="s">
        <v>134</v>
      </c>
      <c r="D96" s="5" t="s">
        <v>669</v>
      </c>
      <c r="E96" s="5" t="s">
        <v>256</v>
      </c>
      <c r="F96" s="5" t="s">
        <v>212</v>
      </c>
      <c r="G96" s="5" t="s">
        <v>301</v>
      </c>
      <c r="H96" s="5" t="s">
        <v>430</v>
      </c>
      <c r="I96" s="5" t="s">
        <v>670</v>
      </c>
      <c r="J96" s="5" t="s">
        <v>671</v>
      </c>
      <c r="K96" s="5"/>
      <c r="L96" s="5">
        <v>3000</v>
      </c>
      <c r="M96" s="14">
        <v>0</v>
      </c>
    </row>
    <row r="97" spans="1:13" x14ac:dyDescent="0.3">
      <c r="A97" s="13" t="s">
        <v>672</v>
      </c>
      <c r="B97" s="8" t="s">
        <v>105</v>
      </c>
      <c r="C97" s="8" t="s">
        <v>106</v>
      </c>
      <c r="D97" s="8" t="s">
        <v>673</v>
      </c>
      <c r="E97" s="8"/>
      <c r="F97" s="8" t="s">
        <v>183</v>
      </c>
      <c r="G97" s="8" t="s">
        <v>244</v>
      </c>
      <c r="H97" s="8" t="s">
        <v>282</v>
      </c>
      <c r="I97" s="8" t="s">
        <v>674</v>
      </c>
      <c r="J97" s="8" t="s">
        <v>675</v>
      </c>
      <c r="K97" s="8"/>
      <c r="L97" s="8">
        <v>3000</v>
      </c>
      <c r="M97" s="15">
        <v>0</v>
      </c>
    </row>
    <row r="98" spans="1:13" x14ac:dyDescent="0.3">
      <c r="A98" s="12" t="s">
        <v>676</v>
      </c>
      <c r="B98" s="5" t="s">
        <v>129</v>
      </c>
      <c r="C98" s="5" t="s">
        <v>130</v>
      </c>
      <c r="D98" s="5" t="s">
        <v>677</v>
      </c>
      <c r="E98" s="5" t="s">
        <v>395</v>
      </c>
      <c r="F98" s="5" t="s">
        <v>149</v>
      </c>
      <c r="G98" s="5" t="s">
        <v>244</v>
      </c>
      <c r="H98" s="5" t="s">
        <v>302</v>
      </c>
      <c r="I98" s="5" t="s">
        <v>678</v>
      </c>
      <c r="J98" s="5" t="s">
        <v>679</v>
      </c>
      <c r="K98" s="5"/>
      <c r="L98" s="5">
        <v>2000</v>
      </c>
      <c r="M98" s="14">
        <v>653</v>
      </c>
    </row>
    <row r="99" spans="1:13" x14ac:dyDescent="0.3">
      <c r="A99" s="13" t="s">
        <v>680</v>
      </c>
      <c r="B99" s="8" t="s">
        <v>109</v>
      </c>
      <c r="C99" s="8" t="s">
        <v>110</v>
      </c>
      <c r="D99" s="8" t="s">
        <v>681</v>
      </c>
      <c r="E99" s="8" t="s">
        <v>236</v>
      </c>
      <c r="F99" s="8"/>
      <c r="G99" s="8" t="s">
        <v>293</v>
      </c>
      <c r="H99" s="8" t="s">
        <v>356</v>
      </c>
      <c r="I99" s="8" t="s">
        <v>682</v>
      </c>
      <c r="J99" s="8" t="s">
        <v>683</v>
      </c>
      <c r="K99" s="8" t="s">
        <v>684</v>
      </c>
      <c r="L99" s="8">
        <v>6000</v>
      </c>
      <c r="M99" s="15">
        <v>5346</v>
      </c>
    </row>
    <row r="100" spans="1:13" x14ac:dyDescent="0.3">
      <c r="A100" s="12" t="s">
        <v>685</v>
      </c>
      <c r="B100" s="5" t="s">
        <v>133</v>
      </c>
      <c r="C100" s="5" t="s">
        <v>134</v>
      </c>
      <c r="D100" s="5" t="s">
        <v>686</v>
      </c>
      <c r="E100" s="5" t="s">
        <v>313</v>
      </c>
      <c r="F100" s="5" t="s">
        <v>216</v>
      </c>
      <c r="G100" s="5" t="s">
        <v>264</v>
      </c>
      <c r="H100" s="5" t="s">
        <v>319</v>
      </c>
      <c r="I100" s="5" t="s">
        <v>687</v>
      </c>
      <c r="J100" s="5" t="s">
        <v>688</v>
      </c>
      <c r="K100" s="5"/>
      <c r="L100" s="5">
        <v>10000</v>
      </c>
      <c r="M100" s="14">
        <v>7208</v>
      </c>
    </row>
    <row r="101" spans="1:13" x14ac:dyDescent="0.3">
      <c r="A101" s="13" t="s">
        <v>689</v>
      </c>
      <c r="B101" s="8" t="s">
        <v>86</v>
      </c>
      <c r="C101" s="8" t="s">
        <v>87</v>
      </c>
      <c r="D101" s="8" t="s">
        <v>690</v>
      </c>
      <c r="E101" s="8" t="s">
        <v>206</v>
      </c>
      <c r="F101" s="8" t="s">
        <v>214</v>
      </c>
      <c r="G101" s="8" t="s">
        <v>237</v>
      </c>
      <c r="H101" s="8" t="s">
        <v>365</v>
      </c>
      <c r="I101" s="8" t="s">
        <v>691</v>
      </c>
      <c r="J101" s="8" t="s">
        <v>692</v>
      </c>
      <c r="K101" s="8" t="s">
        <v>693</v>
      </c>
      <c r="L101" s="8">
        <v>10000</v>
      </c>
      <c r="M101" s="15">
        <v>13746</v>
      </c>
    </row>
    <row r="102" spans="1:13" x14ac:dyDescent="0.3">
      <c r="A102" s="12" t="s">
        <v>694</v>
      </c>
      <c r="B102" s="5" t="s">
        <v>86</v>
      </c>
      <c r="C102" s="5" t="s">
        <v>87</v>
      </c>
      <c r="D102" s="5" t="s">
        <v>695</v>
      </c>
      <c r="E102" s="5" t="s">
        <v>405</v>
      </c>
      <c r="F102" s="5" t="s">
        <v>186</v>
      </c>
      <c r="G102" s="5" t="s">
        <v>318</v>
      </c>
      <c r="H102" s="5" t="s">
        <v>314</v>
      </c>
      <c r="I102" s="5" t="s">
        <v>696</v>
      </c>
      <c r="J102" s="5" t="s">
        <v>697</v>
      </c>
      <c r="K102" s="5" t="s">
        <v>698</v>
      </c>
      <c r="L102" s="5">
        <v>6000</v>
      </c>
      <c r="M102" s="14">
        <v>7171</v>
      </c>
    </row>
    <row r="103" spans="1:13" x14ac:dyDescent="0.3">
      <c r="A103" s="13" t="s">
        <v>699</v>
      </c>
      <c r="B103" s="8" t="s">
        <v>96</v>
      </c>
      <c r="C103" s="8" t="s">
        <v>97</v>
      </c>
      <c r="D103" s="8" t="s">
        <v>496</v>
      </c>
      <c r="E103" s="8" t="s">
        <v>292</v>
      </c>
      <c r="F103" s="8" t="s">
        <v>700</v>
      </c>
      <c r="G103" s="8" t="s">
        <v>237</v>
      </c>
      <c r="H103" s="8" t="s">
        <v>365</v>
      </c>
      <c r="I103" s="8" t="s">
        <v>701</v>
      </c>
      <c r="J103" s="8" t="s">
        <v>702</v>
      </c>
      <c r="K103" s="8" t="s">
        <v>703</v>
      </c>
      <c r="L103" s="8">
        <v>10000</v>
      </c>
      <c r="M103" s="15">
        <v>7595</v>
      </c>
    </row>
    <row r="104" spans="1:13" x14ac:dyDescent="0.3">
      <c r="A104" s="12" t="s">
        <v>704</v>
      </c>
      <c r="B104" s="5" t="s">
        <v>113</v>
      </c>
      <c r="C104" s="5" t="s">
        <v>114</v>
      </c>
      <c r="D104" s="5" t="s">
        <v>705</v>
      </c>
      <c r="E104" s="5" t="s">
        <v>706</v>
      </c>
      <c r="F104" s="5" t="s">
        <v>200</v>
      </c>
      <c r="G104" s="5" t="s">
        <v>237</v>
      </c>
      <c r="H104" s="5" t="s">
        <v>251</v>
      </c>
      <c r="I104" s="5" t="s">
        <v>707</v>
      </c>
      <c r="J104" s="5" t="s">
        <v>708</v>
      </c>
      <c r="K104" s="5"/>
      <c r="L104" s="5">
        <v>2500</v>
      </c>
      <c r="M104" s="14">
        <v>1388</v>
      </c>
    </row>
    <row r="105" spans="1:13" x14ac:dyDescent="0.3">
      <c r="A105" s="13" t="s">
        <v>709</v>
      </c>
      <c r="B105" s="8" t="s">
        <v>129</v>
      </c>
      <c r="C105" s="8" t="s">
        <v>130</v>
      </c>
      <c r="D105" s="8" t="s">
        <v>710</v>
      </c>
      <c r="E105" s="8" t="s">
        <v>405</v>
      </c>
      <c r="F105" s="8" t="s">
        <v>209</v>
      </c>
      <c r="G105" s="8" t="s">
        <v>264</v>
      </c>
      <c r="H105" s="8" t="s">
        <v>251</v>
      </c>
      <c r="I105" s="8" t="s">
        <v>711</v>
      </c>
      <c r="J105" s="8" t="s">
        <v>712</v>
      </c>
      <c r="K105" s="8"/>
      <c r="L105" s="8">
        <v>1000</v>
      </c>
      <c r="M105" s="15">
        <v>606</v>
      </c>
    </row>
    <row r="106" spans="1:13" x14ac:dyDescent="0.3">
      <c r="A106" s="12" t="s">
        <v>713</v>
      </c>
      <c r="B106" s="5" t="s">
        <v>129</v>
      </c>
      <c r="C106" s="5" t="s">
        <v>130</v>
      </c>
      <c r="D106" s="5" t="s">
        <v>714</v>
      </c>
      <c r="E106" s="5" t="s">
        <v>300</v>
      </c>
      <c r="F106" s="5" t="s">
        <v>158</v>
      </c>
      <c r="G106" s="5" t="s">
        <v>250</v>
      </c>
      <c r="H106" s="5" t="s">
        <v>258</v>
      </c>
      <c r="I106" s="5" t="s">
        <v>715</v>
      </c>
      <c r="J106" s="5" t="s">
        <v>716</v>
      </c>
      <c r="K106" s="5" t="s">
        <v>716</v>
      </c>
      <c r="L106" s="5">
        <v>1000</v>
      </c>
      <c r="M106" s="14">
        <v>734</v>
      </c>
    </row>
    <row r="107" spans="1:13" x14ac:dyDescent="0.3">
      <c r="A107" s="13" t="s">
        <v>717</v>
      </c>
      <c r="B107" s="8" t="s">
        <v>113</v>
      </c>
      <c r="C107" s="8" t="s">
        <v>114</v>
      </c>
      <c r="D107" s="8" t="s">
        <v>718</v>
      </c>
      <c r="E107" s="8" t="s">
        <v>538</v>
      </c>
      <c r="F107" s="8" t="s">
        <v>200</v>
      </c>
      <c r="G107" s="8" t="s">
        <v>257</v>
      </c>
      <c r="H107" s="8" t="s">
        <v>238</v>
      </c>
      <c r="I107" s="8" t="s">
        <v>719</v>
      </c>
      <c r="J107" s="8" t="s">
        <v>720</v>
      </c>
      <c r="K107" s="8" t="s">
        <v>721</v>
      </c>
      <c r="L107" s="8">
        <v>8000</v>
      </c>
      <c r="M107" s="15">
        <v>8335</v>
      </c>
    </row>
    <row r="108" spans="1:13" x14ac:dyDescent="0.3">
      <c r="A108" s="12" t="s">
        <v>722</v>
      </c>
      <c r="B108" s="5" t="s">
        <v>118</v>
      </c>
      <c r="C108" s="5" t="s">
        <v>119</v>
      </c>
      <c r="D108" s="5" t="s">
        <v>723</v>
      </c>
      <c r="E108" s="5" t="s">
        <v>439</v>
      </c>
      <c r="F108" s="5" t="s">
        <v>203</v>
      </c>
      <c r="G108" s="5" t="s">
        <v>364</v>
      </c>
      <c r="H108" s="5" t="s">
        <v>592</v>
      </c>
      <c r="I108" s="5" t="s">
        <v>724</v>
      </c>
      <c r="J108" s="5" t="s">
        <v>725</v>
      </c>
      <c r="K108" s="5"/>
      <c r="L108" s="5">
        <v>6000</v>
      </c>
      <c r="M108" s="14">
        <v>0</v>
      </c>
    </row>
    <row r="109" spans="1:13" x14ac:dyDescent="0.3">
      <c r="A109" s="13" t="s">
        <v>726</v>
      </c>
      <c r="B109" s="8" t="s">
        <v>91</v>
      </c>
      <c r="C109" s="8" t="s">
        <v>92</v>
      </c>
      <c r="D109" s="8" t="s">
        <v>727</v>
      </c>
      <c r="E109" s="8" t="s">
        <v>206</v>
      </c>
      <c r="F109" s="8" t="s">
        <v>216</v>
      </c>
      <c r="G109" s="8" t="s">
        <v>250</v>
      </c>
      <c r="H109" s="8" t="s">
        <v>365</v>
      </c>
      <c r="I109" s="8" t="s">
        <v>331</v>
      </c>
      <c r="J109" s="8" t="s">
        <v>728</v>
      </c>
      <c r="K109" s="8" t="s">
        <v>728</v>
      </c>
      <c r="L109" s="8">
        <v>1000</v>
      </c>
      <c r="M109" s="15">
        <v>1106</v>
      </c>
    </row>
    <row r="110" spans="1:13" x14ac:dyDescent="0.3">
      <c r="A110" s="12" t="s">
        <v>729</v>
      </c>
      <c r="B110" s="5" t="s">
        <v>109</v>
      </c>
      <c r="C110" s="5" t="s">
        <v>110</v>
      </c>
      <c r="D110" s="5" t="s">
        <v>730</v>
      </c>
      <c r="E110" s="5" t="s">
        <v>467</v>
      </c>
      <c r="F110" s="5" t="s">
        <v>224</v>
      </c>
      <c r="G110" s="5" t="s">
        <v>318</v>
      </c>
      <c r="H110" s="5" t="s">
        <v>319</v>
      </c>
      <c r="I110" s="5" t="s">
        <v>702</v>
      </c>
      <c r="J110" s="5" t="s">
        <v>731</v>
      </c>
      <c r="K110" s="5"/>
      <c r="L110" s="5">
        <v>8000</v>
      </c>
      <c r="M110" s="14">
        <v>5450</v>
      </c>
    </row>
    <row r="111" spans="1:13" x14ac:dyDescent="0.3">
      <c r="A111" s="13" t="s">
        <v>732</v>
      </c>
      <c r="B111" s="8" t="s">
        <v>129</v>
      </c>
      <c r="C111" s="8" t="s">
        <v>130</v>
      </c>
      <c r="D111" s="8" t="s">
        <v>733</v>
      </c>
      <c r="E111" s="8" t="s">
        <v>424</v>
      </c>
      <c r="F111" s="8" t="s">
        <v>176</v>
      </c>
      <c r="G111" s="8"/>
      <c r="H111" s="8" t="s">
        <v>287</v>
      </c>
      <c r="I111" s="8" t="s">
        <v>734</v>
      </c>
      <c r="J111" s="8" t="s">
        <v>450</v>
      </c>
      <c r="K111" s="8"/>
      <c r="L111" s="8">
        <v>8000</v>
      </c>
      <c r="M111" s="15">
        <v>4463</v>
      </c>
    </row>
    <row r="112" spans="1:13" x14ac:dyDescent="0.3">
      <c r="A112" s="12" t="s">
        <v>735</v>
      </c>
      <c r="B112" s="5" t="s">
        <v>118</v>
      </c>
      <c r="C112" s="5" t="s">
        <v>119</v>
      </c>
      <c r="D112" s="5" t="s">
        <v>736</v>
      </c>
      <c r="E112" s="5" t="s">
        <v>410</v>
      </c>
      <c r="F112" s="5" t="s">
        <v>167</v>
      </c>
      <c r="G112" s="5" t="s">
        <v>244</v>
      </c>
      <c r="H112" s="5" t="s">
        <v>302</v>
      </c>
      <c r="I112" s="5" t="s">
        <v>737</v>
      </c>
      <c r="J112" s="5" t="s">
        <v>738</v>
      </c>
      <c r="K112" s="5"/>
      <c r="L112" s="5">
        <v>3000</v>
      </c>
      <c r="M112" s="14">
        <v>742</v>
      </c>
    </row>
    <row r="113" spans="1:13" x14ac:dyDescent="0.3">
      <c r="A113" s="13" t="s">
        <v>739</v>
      </c>
      <c r="B113" s="8" t="s">
        <v>105</v>
      </c>
      <c r="C113" s="8" t="s">
        <v>106</v>
      </c>
      <c r="D113" s="8" t="s">
        <v>740</v>
      </c>
      <c r="E113" s="8" t="s">
        <v>313</v>
      </c>
      <c r="F113" s="8" t="s">
        <v>193</v>
      </c>
      <c r="G113" s="8" t="s">
        <v>244</v>
      </c>
      <c r="H113" s="8" t="s">
        <v>258</v>
      </c>
      <c r="I113" s="8" t="s">
        <v>664</v>
      </c>
      <c r="J113" s="8" t="s">
        <v>741</v>
      </c>
      <c r="K113" s="8" t="s">
        <v>742</v>
      </c>
      <c r="L113" s="8">
        <v>6000</v>
      </c>
      <c r="M113" s="15">
        <v>7892</v>
      </c>
    </row>
    <row r="114" spans="1:13" x14ac:dyDescent="0.3">
      <c r="A114" s="12" t="s">
        <v>743</v>
      </c>
      <c r="B114" s="5" t="s">
        <v>96</v>
      </c>
      <c r="C114" s="5" t="s">
        <v>97</v>
      </c>
      <c r="D114" s="5" t="s">
        <v>744</v>
      </c>
      <c r="E114" s="5" t="s">
        <v>177</v>
      </c>
      <c r="F114" s="5" t="s">
        <v>745</v>
      </c>
      <c r="G114" s="5" t="s">
        <v>237</v>
      </c>
      <c r="H114" s="5" t="s">
        <v>251</v>
      </c>
      <c r="I114" s="5" t="s">
        <v>746</v>
      </c>
      <c r="J114" s="5" t="s">
        <v>664</v>
      </c>
      <c r="K114" s="5"/>
      <c r="L114" s="5">
        <v>2000</v>
      </c>
      <c r="M114" s="14">
        <v>1080</v>
      </c>
    </row>
    <row r="115" spans="1:13" x14ac:dyDescent="0.3">
      <c r="A115" s="13" t="s">
        <v>747</v>
      </c>
      <c r="B115" s="8" t="s">
        <v>96</v>
      </c>
      <c r="C115" s="8" t="s">
        <v>97</v>
      </c>
      <c r="D115" s="8" t="s">
        <v>429</v>
      </c>
      <c r="E115" s="8" t="s">
        <v>206</v>
      </c>
      <c r="F115" s="8" t="s">
        <v>203</v>
      </c>
      <c r="G115" s="8" t="s">
        <v>250</v>
      </c>
      <c r="H115" s="8" t="s">
        <v>302</v>
      </c>
      <c r="I115" s="8" t="s">
        <v>748</v>
      </c>
      <c r="J115" s="8" t="s">
        <v>749</v>
      </c>
      <c r="K115" s="8"/>
      <c r="L115" s="8">
        <v>3000</v>
      </c>
      <c r="M115" s="15">
        <v>1233</v>
      </c>
    </row>
    <row r="116" spans="1:13" x14ac:dyDescent="0.3">
      <c r="A116" s="12" t="s">
        <v>750</v>
      </c>
      <c r="B116" s="5" t="s">
        <v>109</v>
      </c>
      <c r="C116" s="5" t="s">
        <v>110</v>
      </c>
      <c r="D116" s="5" t="s">
        <v>751</v>
      </c>
      <c r="E116" s="5" t="s">
        <v>706</v>
      </c>
      <c r="F116" s="5" t="s">
        <v>180</v>
      </c>
      <c r="G116" s="5" t="s">
        <v>244</v>
      </c>
      <c r="H116" s="5" t="s">
        <v>251</v>
      </c>
      <c r="I116" s="5" t="s">
        <v>752</v>
      </c>
      <c r="J116" s="5" t="s">
        <v>753</v>
      </c>
      <c r="K116" s="5"/>
      <c r="L116" s="5">
        <v>6000</v>
      </c>
      <c r="M116" s="14">
        <v>1369</v>
      </c>
    </row>
    <row r="117" spans="1:13" x14ac:dyDescent="0.3">
      <c r="A117" s="13" t="s">
        <v>754</v>
      </c>
      <c r="B117" s="8" t="s">
        <v>96</v>
      </c>
      <c r="C117" s="8" t="s">
        <v>97</v>
      </c>
      <c r="D117" s="8" t="s">
        <v>622</v>
      </c>
      <c r="E117" s="8" t="s">
        <v>236</v>
      </c>
      <c r="F117" s="8" t="s">
        <v>180</v>
      </c>
      <c r="G117" s="8" t="s">
        <v>350</v>
      </c>
      <c r="H117" s="8" t="s">
        <v>238</v>
      </c>
      <c r="I117" s="8" t="s">
        <v>755</v>
      </c>
      <c r="J117" s="8" t="s">
        <v>756</v>
      </c>
      <c r="K117" s="8" t="s">
        <v>757</v>
      </c>
      <c r="L117" s="8">
        <v>1500</v>
      </c>
      <c r="M117" s="15">
        <v>1832</v>
      </c>
    </row>
    <row r="118" spans="1:13" x14ac:dyDescent="0.3">
      <c r="A118" s="12" t="s">
        <v>758</v>
      </c>
      <c r="B118" s="5" t="s">
        <v>136</v>
      </c>
      <c r="C118" s="5" t="s">
        <v>137</v>
      </c>
      <c r="D118" s="5" t="s">
        <v>759</v>
      </c>
      <c r="E118" s="5" t="s">
        <v>187</v>
      </c>
      <c r="F118" s="5" t="s">
        <v>209</v>
      </c>
      <c r="G118" s="5" t="s">
        <v>264</v>
      </c>
      <c r="H118" s="5" t="s">
        <v>319</v>
      </c>
      <c r="I118" s="5" t="s">
        <v>760</v>
      </c>
      <c r="J118" s="5" t="s">
        <v>761</v>
      </c>
      <c r="K118" s="5"/>
      <c r="L118" s="5">
        <v>2500</v>
      </c>
      <c r="M118" s="14">
        <v>895</v>
      </c>
    </row>
    <row r="119" spans="1:13" x14ac:dyDescent="0.3">
      <c r="A119" s="13" t="s">
        <v>762</v>
      </c>
      <c r="B119" s="8" t="s">
        <v>136</v>
      </c>
      <c r="C119" s="8" t="s">
        <v>137</v>
      </c>
      <c r="D119" s="8" t="s">
        <v>763</v>
      </c>
      <c r="E119" s="8" t="s">
        <v>197</v>
      </c>
      <c r="F119" s="8" t="s">
        <v>764</v>
      </c>
      <c r="G119" s="8" t="s">
        <v>281</v>
      </c>
      <c r="H119" s="8" t="s">
        <v>294</v>
      </c>
      <c r="I119" s="8" t="s">
        <v>765</v>
      </c>
      <c r="J119" s="8" t="s">
        <v>325</v>
      </c>
      <c r="K119" s="8" t="s">
        <v>325</v>
      </c>
      <c r="L119" s="8">
        <v>6000</v>
      </c>
      <c r="M119" s="15">
        <v>5085</v>
      </c>
    </row>
    <row r="120" spans="1:13" x14ac:dyDescent="0.3">
      <c r="A120" s="12" t="s">
        <v>766</v>
      </c>
      <c r="B120" s="5" t="s">
        <v>101</v>
      </c>
      <c r="C120" s="5" t="s">
        <v>102</v>
      </c>
      <c r="D120" s="5" t="s">
        <v>612</v>
      </c>
      <c r="E120" s="5" t="s">
        <v>187</v>
      </c>
      <c r="F120" s="5" t="s">
        <v>169</v>
      </c>
      <c r="G120" s="5" t="s">
        <v>275</v>
      </c>
      <c r="H120" s="5" t="s">
        <v>245</v>
      </c>
      <c r="I120" s="5" t="s">
        <v>767</v>
      </c>
      <c r="J120" s="5" t="s">
        <v>768</v>
      </c>
      <c r="K120" s="5"/>
      <c r="L120" s="5">
        <v>6000</v>
      </c>
      <c r="M120" s="14">
        <v>2042</v>
      </c>
    </row>
    <row r="121" spans="1:13" x14ac:dyDescent="0.3">
      <c r="A121" s="13" t="s">
        <v>769</v>
      </c>
      <c r="B121" s="8" t="s">
        <v>118</v>
      </c>
      <c r="C121" s="8" t="s">
        <v>119</v>
      </c>
      <c r="D121" s="8" t="s">
        <v>496</v>
      </c>
      <c r="E121" s="8" t="s">
        <v>219</v>
      </c>
      <c r="F121" s="8" t="s">
        <v>205</v>
      </c>
      <c r="G121" s="8" t="s">
        <v>244</v>
      </c>
      <c r="H121" s="8" t="s">
        <v>287</v>
      </c>
      <c r="I121" s="8" t="s">
        <v>770</v>
      </c>
      <c r="J121" s="8" t="s">
        <v>771</v>
      </c>
      <c r="K121" s="8"/>
      <c r="L121" s="8">
        <v>4000</v>
      </c>
      <c r="M121" s="15">
        <v>2867</v>
      </c>
    </row>
    <row r="122" spans="1:13" x14ac:dyDescent="0.3">
      <c r="A122" s="12" t="s">
        <v>772</v>
      </c>
      <c r="B122" s="5" t="s">
        <v>136</v>
      </c>
      <c r="C122" s="5" t="s">
        <v>137</v>
      </c>
      <c r="D122" s="5" t="s">
        <v>641</v>
      </c>
      <c r="E122" s="5" t="s">
        <v>405</v>
      </c>
      <c r="F122" s="5" t="s">
        <v>218</v>
      </c>
      <c r="G122" s="5" t="s">
        <v>301</v>
      </c>
      <c r="H122" s="5" t="s">
        <v>314</v>
      </c>
      <c r="I122" s="5" t="s">
        <v>724</v>
      </c>
      <c r="J122" s="5" t="s">
        <v>773</v>
      </c>
      <c r="K122" s="5" t="s">
        <v>774</v>
      </c>
      <c r="L122" s="5">
        <v>1000</v>
      </c>
      <c r="M122" s="14">
        <v>1328</v>
      </c>
    </row>
    <row r="123" spans="1:13" x14ac:dyDescent="0.3">
      <c r="A123" s="13" t="s">
        <v>775</v>
      </c>
      <c r="B123" s="8" t="s">
        <v>81</v>
      </c>
      <c r="C123" s="8" t="s">
        <v>82</v>
      </c>
      <c r="D123" s="8" t="s">
        <v>573</v>
      </c>
      <c r="E123" s="8" t="s">
        <v>206</v>
      </c>
      <c r="F123" s="8" t="s">
        <v>167</v>
      </c>
      <c r="G123" s="8" t="s">
        <v>281</v>
      </c>
      <c r="H123" s="8" t="s">
        <v>287</v>
      </c>
      <c r="I123" s="8" t="s">
        <v>776</v>
      </c>
      <c r="J123" s="8" t="s">
        <v>777</v>
      </c>
      <c r="K123" s="8"/>
      <c r="L123" s="8">
        <v>3000</v>
      </c>
      <c r="M123" s="15">
        <v>1804</v>
      </c>
    </row>
    <row r="124" spans="1:13" x14ac:dyDescent="0.3">
      <c r="A124" s="12" t="s">
        <v>778</v>
      </c>
      <c r="B124" s="5" t="s">
        <v>113</v>
      </c>
      <c r="C124" s="5" t="s">
        <v>114</v>
      </c>
      <c r="D124" s="5" t="s">
        <v>462</v>
      </c>
      <c r="E124" s="5" t="s">
        <v>467</v>
      </c>
      <c r="F124" s="5" t="s">
        <v>174</v>
      </c>
      <c r="G124" s="5" t="s">
        <v>293</v>
      </c>
      <c r="H124" s="5" t="s">
        <v>365</v>
      </c>
      <c r="I124" s="5" t="s">
        <v>779</v>
      </c>
      <c r="J124" s="5" t="s">
        <v>770</v>
      </c>
      <c r="K124" s="5" t="s">
        <v>780</v>
      </c>
      <c r="L124" s="5">
        <v>1500</v>
      </c>
      <c r="M124" s="14">
        <v>1055</v>
      </c>
    </row>
    <row r="125" spans="1:13" x14ac:dyDescent="0.3">
      <c r="A125" s="13" t="s">
        <v>781</v>
      </c>
      <c r="B125" s="8" t="s">
        <v>113</v>
      </c>
      <c r="C125" s="8" t="s">
        <v>114</v>
      </c>
      <c r="D125" s="8" t="s">
        <v>782</v>
      </c>
      <c r="E125" s="8" t="s">
        <v>410</v>
      </c>
      <c r="F125" s="8" t="s">
        <v>196</v>
      </c>
      <c r="G125" s="8" t="s">
        <v>281</v>
      </c>
      <c r="H125" s="8" t="s">
        <v>258</v>
      </c>
      <c r="I125" s="8" t="s">
        <v>783</v>
      </c>
      <c r="J125" s="8" t="s">
        <v>784</v>
      </c>
      <c r="K125" s="8" t="s">
        <v>785</v>
      </c>
      <c r="L125" s="8">
        <v>2500</v>
      </c>
      <c r="M125" s="15">
        <v>2644</v>
      </c>
    </row>
    <row r="126" spans="1:13" x14ac:dyDescent="0.3">
      <c r="A126" s="12" t="s">
        <v>786</v>
      </c>
      <c r="B126" s="5"/>
      <c r="C126" s="5"/>
      <c r="D126" s="5" t="s">
        <v>361</v>
      </c>
      <c r="E126" s="5"/>
      <c r="F126" s="5"/>
      <c r="G126" s="5"/>
      <c r="H126" s="5"/>
      <c r="I126" s="5"/>
      <c r="J126" s="5"/>
      <c r="K126" s="5"/>
      <c r="L126" s="5"/>
      <c r="M126" s="14"/>
    </row>
    <row r="127" spans="1:13" x14ac:dyDescent="0.3">
      <c r="A127" s="13" t="s">
        <v>787</v>
      </c>
      <c r="B127" s="8" t="s">
        <v>129</v>
      </c>
      <c r="C127" s="8" t="s">
        <v>130</v>
      </c>
      <c r="D127" s="8" t="s">
        <v>306</v>
      </c>
      <c r="E127" s="8" t="s">
        <v>249</v>
      </c>
      <c r="F127" s="8" t="s">
        <v>788</v>
      </c>
      <c r="G127" s="8" t="s">
        <v>244</v>
      </c>
      <c r="H127" s="8" t="s">
        <v>287</v>
      </c>
      <c r="I127" s="8" t="s">
        <v>789</v>
      </c>
      <c r="J127" s="8" t="s">
        <v>790</v>
      </c>
      <c r="K127" s="8"/>
      <c r="L127" s="8">
        <v>3000</v>
      </c>
      <c r="M127" s="15">
        <v>1248</v>
      </c>
    </row>
    <row r="128" spans="1:13" x14ac:dyDescent="0.3">
      <c r="A128" s="12" t="s">
        <v>791</v>
      </c>
      <c r="B128" s="5" t="s">
        <v>86</v>
      </c>
      <c r="C128" s="5" t="s">
        <v>87</v>
      </c>
      <c r="D128" s="5" t="s">
        <v>573</v>
      </c>
      <c r="E128" s="5" t="s">
        <v>349</v>
      </c>
      <c r="F128" s="5" t="s">
        <v>153</v>
      </c>
      <c r="G128" s="5" t="s">
        <v>350</v>
      </c>
      <c r="H128" s="5" t="s">
        <v>238</v>
      </c>
      <c r="I128" s="5" t="s">
        <v>792</v>
      </c>
      <c r="J128" s="5" t="s">
        <v>793</v>
      </c>
      <c r="K128" s="5" t="s">
        <v>794</v>
      </c>
      <c r="L128" s="5">
        <v>10000</v>
      </c>
      <c r="M128" s="14">
        <v>11406</v>
      </c>
    </row>
    <row r="129" spans="1:13" x14ac:dyDescent="0.3">
      <c r="A129" s="13" t="s">
        <v>795</v>
      </c>
      <c r="B129" s="8" t="s">
        <v>81</v>
      </c>
      <c r="C129" s="8" t="s">
        <v>82</v>
      </c>
      <c r="D129" s="8" t="s">
        <v>796</v>
      </c>
      <c r="E129" s="8" t="s">
        <v>533</v>
      </c>
      <c r="F129" s="8" t="s">
        <v>176</v>
      </c>
      <c r="G129" s="8" t="s">
        <v>275</v>
      </c>
      <c r="H129" s="8" t="s">
        <v>251</v>
      </c>
      <c r="I129" s="8" t="s">
        <v>797</v>
      </c>
      <c r="J129" s="8" t="s">
        <v>798</v>
      </c>
      <c r="K129" s="8"/>
      <c r="L129" s="8">
        <v>2500</v>
      </c>
      <c r="M129" s="15">
        <v>837</v>
      </c>
    </row>
    <row r="130" spans="1:13" x14ac:dyDescent="0.3">
      <c r="A130" s="12" t="s">
        <v>799</v>
      </c>
      <c r="B130" s="5" t="s">
        <v>133</v>
      </c>
      <c r="C130" s="5" t="s">
        <v>134</v>
      </c>
      <c r="D130" s="5" t="s">
        <v>800</v>
      </c>
      <c r="E130" s="5" t="s">
        <v>424</v>
      </c>
      <c r="F130" s="5" t="s">
        <v>155</v>
      </c>
      <c r="G130" s="5" t="s">
        <v>318</v>
      </c>
      <c r="H130" s="5" t="s">
        <v>356</v>
      </c>
      <c r="I130" s="5" t="s">
        <v>801</v>
      </c>
      <c r="J130" s="5" t="s">
        <v>802</v>
      </c>
      <c r="K130" s="5" t="s">
        <v>803</v>
      </c>
      <c r="L130" s="5">
        <v>2500</v>
      </c>
      <c r="M130" s="14">
        <v>2311</v>
      </c>
    </row>
    <row r="131" spans="1:13" x14ac:dyDescent="0.3">
      <c r="A131" s="13" t="s">
        <v>804</v>
      </c>
      <c r="B131" s="8" t="s">
        <v>86</v>
      </c>
      <c r="C131" s="8" t="s">
        <v>87</v>
      </c>
      <c r="D131" s="8" t="s">
        <v>805</v>
      </c>
      <c r="E131" s="8" t="s">
        <v>533</v>
      </c>
      <c r="F131" s="8" t="s">
        <v>183</v>
      </c>
      <c r="G131" s="8" t="s">
        <v>293</v>
      </c>
      <c r="H131" s="8" t="s">
        <v>365</v>
      </c>
      <c r="I131" s="8" t="s">
        <v>806</v>
      </c>
      <c r="J131" s="8" t="s">
        <v>807</v>
      </c>
      <c r="K131" s="8" t="s">
        <v>808</v>
      </c>
      <c r="L131" s="8">
        <v>1500</v>
      </c>
      <c r="M131" s="15">
        <v>1359</v>
      </c>
    </row>
    <row r="132" spans="1:13" x14ac:dyDescent="0.3">
      <c r="A132" s="12" t="s">
        <v>586</v>
      </c>
      <c r="B132" s="5" t="s">
        <v>122</v>
      </c>
      <c r="C132" s="5" t="s">
        <v>123</v>
      </c>
      <c r="D132" s="5" t="s">
        <v>587</v>
      </c>
      <c r="E132" s="5" t="s">
        <v>410</v>
      </c>
      <c r="F132" s="5" t="s">
        <v>163</v>
      </c>
      <c r="G132" s="5" t="s">
        <v>281</v>
      </c>
      <c r="H132" s="5" t="s">
        <v>294</v>
      </c>
      <c r="I132" s="5" t="s">
        <v>588</v>
      </c>
      <c r="J132" s="5" t="s">
        <v>589</v>
      </c>
      <c r="K132" s="5" t="s">
        <v>589</v>
      </c>
      <c r="L132" s="5">
        <v>2000</v>
      </c>
      <c r="M132" s="14">
        <v>1896</v>
      </c>
    </row>
    <row r="133" spans="1:13" x14ac:dyDescent="0.3">
      <c r="A133" s="13" t="s">
        <v>809</v>
      </c>
      <c r="B133" s="8" t="s">
        <v>129</v>
      </c>
      <c r="C133" s="8" t="s">
        <v>130</v>
      </c>
      <c r="D133" s="8" t="s">
        <v>686</v>
      </c>
      <c r="E133" s="8" t="s">
        <v>329</v>
      </c>
      <c r="F133" s="8" t="s">
        <v>172</v>
      </c>
      <c r="G133" s="8" t="s">
        <v>257</v>
      </c>
      <c r="H133" s="8" t="s">
        <v>294</v>
      </c>
      <c r="I133" s="8" t="s">
        <v>810</v>
      </c>
      <c r="J133" s="8" t="s">
        <v>811</v>
      </c>
      <c r="K133" s="8" t="s">
        <v>811</v>
      </c>
      <c r="L133" s="8">
        <v>4000</v>
      </c>
      <c r="M133" s="15"/>
    </row>
    <row r="134" spans="1:13" x14ac:dyDescent="0.3">
      <c r="A134" s="12" t="s">
        <v>812</v>
      </c>
      <c r="B134" s="5" t="s">
        <v>126</v>
      </c>
      <c r="C134" s="5" t="s">
        <v>127</v>
      </c>
      <c r="D134" s="5" t="s">
        <v>763</v>
      </c>
      <c r="E134" s="5" t="s">
        <v>446</v>
      </c>
      <c r="F134" s="5" t="s">
        <v>161</v>
      </c>
      <c r="G134" s="5" t="s">
        <v>293</v>
      </c>
      <c r="H134" s="5" t="s">
        <v>324</v>
      </c>
      <c r="I134" s="5" t="s">
        <v>613</v>
      </c>
      <c r="J134" s="5" t="s">
        <v>396</v>
      </c>
      <c r="K134" s="5" t="s">
        <v>813</v>
      </c>
      <c r="L134" s="5">
        <v>1000</v>
      </c>
      <c r="M134" s="14">
        <v>1032</v>
      </c>
    </row>
    <row r="135" spans="1:13" x14ac:dyDescent="0.3">
      <c r="A135" s="13" t="s">
        <v>814</v>
      </c>
      <c r="B135" s="8" t="s">
        <v>133</v>
      </c>
      <c r="C135" s="8" t="s">
        <v>134</v>
      </c>
      <c r="D135" s="8" t="s">
        <v>815</v>
      </c>
      <c r="E135" s="8" t="s">
        <v>446</v>
      </c>
      <c r="F135" s="8" t="s">
        <v>816</v>
      </c>
      <c r="G135" s="8" t="s">
        <v>244</v>
      </c>
      <c r="H135" s="8" t="s">
        <v>238</v>
      </c>
      <c r="I135" s="8" t="s">
        <v>817</v>
      </c>
      <c r="J135" s="8" t="s">
        <v>818</v>
      </c>
      <c r="K135" s="8" t="s">
        <v>819</v>
      </c>
      <c r="L135" s="8">
        <v>1500</v>
      </c>
      <c r="M135" s="15">
        <v>1834</v>
      </c>
    </row>
    <row r="136" spans="1:13" x14ac:dyDescent="0.3">
      <c r="A136" s="12" t="s">
        <v>820</v>
      </c>
      <c r="B136" s="5" t="s">
        <v>101</v>
      </c>
      <c r="C136" s="5" t="s">
        <v>102</v>
      </c>
      <c r="D136" s="5" t="s">
        <v>821</v>
      </c>
      <c r="E136" s="5"/>
      <c r="F136" s="5" t="s">
        <v>153</v>
      </c>
      <c r="G136" s="5"/>
      <c r="H136" s="5" t="s">
        <v>592</v>
      </c>
      <c r="I136" s="5" t="s">
        <v>822</v>
      </c>
      <c r="J136" s="5" t="s">
        <v>823</v>
      </c>
      <c r="K136" s="5"/>
      <c r="L136" s="5">
        <v>10000</v>
      </c>
      <c r="M136" s="14">
        <v>0</v>
      </c>
    </row>
    <row r="137" spans="1:13" x14ac:dyDescent="0.3">
      <c r="A137" s="13" t="s">
        <v>824</v>
      </c>
      <c r="B137" s="8" t="s">
        <v>105</v>
      </c>
      <c r="C137" s="8" t="s">
        <v>106</v>
      </c>
      <c r="D137" s="8" t="s">
        <v>695</v>
      </c>
      <c r="E137" s="8" t="s">
        <v>177</v>
      </c>
      <c r="F137" s="8" t="s">
        <v>196</v>
      </c>
      <c r="G137" s="8" t="s">
        <v>509</v>
      </c>
      <c r="H137" s="8" t="s">
        <v>319</v>
      </c>
      <c r="I137" s="8" t="s">
        <v>825</v>
      </c>
      <c r="J137" s="8" t="s">
        <v>826</v>
      </c>
      <c r="K137" s="8"/>
      <c r="L137" s="8">
        <v>3000</v>
      </c>
      <c r="M137" s="15">
        <v>732</v>
      </c>
    </row>
    <row r="138" spans="1:13" x14ac:dyDescent="0.3">
      <c r="A138" s="12" t="s">
        <v>827</v>
      </c>
      <c r="B138" s="5" t="s">
        <v>105</v>
      </c>
      <c r="C138" s="5" t="s">
        <v>106</v>
      </c>
      <c r="D138" s="5" t="s">
        <v>828</v>
      </c>
      <c r="E138" s="5" t="s">
        <v>300</v>
      </c>
      <c r="F138" s="5" t="s">
        <v>196</v>
      </c>
      <c r="G138" s="5" t="s">
        <v>364</v>
      </c>
      <c r="H138" s="5" t="s">
        <v>251</v>
      </c>
      <c r="I138" s="5" t="s">
        <v>135</v>
      </c>
      <c r="J138" s="5" t="s">
        <v>829</v>
      </c>
      <c r="K138" s="5"/>
      <c r="L138" s="5">
        <v>10000</v>
      </c>
      <c r="M138" s="14">
        <v>5055</v>
      </c>
    </row>
    <row r="139" spans="1:13" x14ac:dyDescent="0.3">
      <c r="A139" s="13" t="s">
        <v>830</v>
      </c>
      <c r="B139" s="8" t="s">
        <v>122</v>
      </c>
      <c r="C139" s="8" t="s">
        <v>123</v>
      </c>
      <c r="D139" s="8" t="s">
        <v>831</v>
      </c>
      <c r="E139" s="8" t="s">
        <v>405</v>
      </c>
      <c r="F139" s="8" t="s">
        <v>224</v>
      </c>
      <c r="G139" s="8" t="s">
        <v>350</v>
      </c>
      <c r="H139" s="8" t="s">
        <v>314</v>
      </c>
      <c r="I139" s="8" t="s">
        <v>832</v>
      </c>
      <c r="J139" s="8" t="s">
        <v>833</v>
      </c>
      <c r="K139" s="8" t="s">
        <v>833</v>
      </c>
      <c r="L139" s="8"/>
      <c r="M139" s="15">
        <v>1529</v>
      </c>
    </row>
    <row r="140" spans="1:13" x14ac:dyDescent="0.3">
      <c r="A140" s="12" t="s">
        <v>834</v>
      </c>
      <c r="B140" s="5"/>
      <c r="C140" s="5"/>
      <c r="D140" s="5" t="s">
        <v>361</v>
      </c>
      <c r="E140" s="5"/>
      <c r="F140" s="5"/>
      <c r="G140" s="5"/>
      <c r="H140" s="5"/>
      <c r="I140" s="5"/>
      <c r="J140" s="5"/>
      <c r="K140" s="5"/>
      <c r="L140" s="5"/>
      <c r="M140" s="14"/>
    </row>
    <row r="141" spans="1:13" x14ac:dyDescent="0.3">
      <c r="A141" s="13" t="s">
        <v>835</v>
      </c>
      <c r="B141" s="8" t="s">
        <v>101</v>
      </c>
      <c r="C141" s="8" t="s">
        <v>102</v>
      </c>
      <c r="D141" s="8" t="s">
        <v>836</v>
      </c>
      <c r="E141" s="8" t="s">
        <v>206</v>
      </c>
      <c r="F141" s="8" t="s">
        <v>837</v>
      </c>
      <c r="G141" s="8" t="s">
        <v>293</v>
      </c>
      <c r="H141" s="8" t="s">
        <v>294</v>
      </c>
      <c r="I141" s="8" t="s">
        <v>838</v>
      </c>
      <c r="J141" s="8" t="s">
        <v>839</v>
      </c>
      <c r="K141" s="8" t="s">
        <v>407</v>
      </c>
      <c r="L141" s="8">
        <v>1500</v>
      </c>
      <c r="M141" s="15">
        <v>1802</v>
      </c>
    </row>
    <row r="142" spans="1:13" x14ac:dyDescent="0.3">
      <c r="A142" s="12" t="s">
        <v>840</v>
      </c>
      <c r="B142" s="5" t="s">
        <v>140</v>
      </c>
      <c r="C142" s="5" t="s">
        <v>141</v>
      </c>
      <c r="D142" s="5" t="s">
        <v>235</v>
      </c>
      <c r="E142" s="5" t="s">
        <v>446</v>
      </c>
      <c r="F142" s="5" t="s">
        <v>176</v>
      </c>
      <c r="G142" s="5" t="s">
        <v>301</v>
      </c>
      <c r="H142" s="5" t="s">
        <v>314</v>
      </c>
      <c r="I142" s="5" t="s">
        <v>841</v>
      </c>
      <c r="J142" s="5" t="s">
        <v>842</v>
      </c>
      <c r="K142" s="5" t="s">
        <v>843</v>
      </c>
      <c r="L142" s="5">
        <v>8000</v>
      </c>
      <c r="M142" s="14">
        <v>8590</v>
      </c>
    </row>
    <row r="143" spans="1:13" x14ac:dyDescent="0.3">
      <c r="A143" s="13" t="s">
        <v>844</v>
      </c>
      <c r="B143" s="8" t="s">
        <v>109</v>
      </c>
      <c r="C143" s="8" t="s">
        <v>110</v>
      </c>
      <c r="D143" s="8" t="s">
        <v>845</v>
      </c>
      <c r="E143" s="8" t="s">
        <v>481</v>
      </c>
      <c r="F143" s="8" t="s">
        <v>200</v>
      </c>
      <c r="G143" s="8" t="s">
        <v>257</v>
      </c>
      <c r="H143" s="8" t="s">
        <v>365</v>
      </c>
      <c r="I143" s="8" t="s">
        <v>846</v>
      </c>
      <c r="J143" s="8" t="s">
        <v>847</v>
      </c>
      <c r="K143" s="8" t="s">
        <v>848</v>
      </c>
      <c r="L143" s="8">
        <v>5000</v>
      </c>
      <c r="M143" s="15">
        <v>6887</v>
      </c>
    </row>
    <row r="144" spans="1:13" x14ac:dyDescent="0.3">
      <c r="A144" s="12" t="s">
        <v>849</v>
      </c>
      <c r="B144" s="5" t="s">
        <v>129</v>
      </c>
      <c r="C144" s="5" t="s">
        <v>130</v>
      </c>
      <c r="D144" s="5" t="s">
        <v>850</v>
      </c>
      <c r="E144" s="5" t="s">
        <v>533</v>
      </c>
      <c r="F144" s="5" t="s">
        <v>161</v>
      </c>
      <c r="G144" s="5" t="s">
        <v>350</v>
      </c>
      <c r="H144" s="5" t="s">
        <v>287</v>
      </c>
      <c r="I144" s="5" t="s">
        <v>851</v>
      </c>
      <c r="J144" s="5" t="s">
        <v>407</v>
      </c>
      <c r="K144" s="5"/>
      <c r="L144" s="5">
        <v>10000</v>
      </c>
      <c r="M144" s="14">
        <v>6014</v>
      </c>
    </row>
    <row r="145" spans="1:13" x14ac:dyDescent="0.3">
      <c r="A145" s="13" t="s">
        <v>852</v>
      </c>
      <c r="B145" s="8" t="s">
        <v>129</v>
      </c>
      <c r="C145" s="8" t="s">
        <v>130</v>
      </c>
      <c r="D145" s="8" t="s">
        <v>522</v>
      </c>
      <c r="E145" s="8" t="s">
        <v>150</v>
      </c>
      <c r="F145" s="8" t="s">
        <v>176</v>
      </c>
      <c r="G145" s="8" t="s">
        <v>237</v>
      </c>
      <c r="H145" s="8" t="s">
        <v>440</v>
      </c>
      <c r="I145" s="8" t="s">
        <v>853</v>
      </c>
      <c r="J145" s="8" t="s">
        <v>854</v>
      </c>
      <c r="K145" s="8" t="s">
        <v>855</v>
      </c>
      <c r="L145" s="8"/>
      <c r="M145" s="15">
        <v>1441</v>
      </c>
    </row>
    <row r="146" spans="1:13" x14ac:dyDescent="0.3">
      <c r="A146" s="12" t="s">
        <v>856</v>
      </c>
      <c r="B146" s="5" t="s">
        <v>105</v>
      </c>
      <c r="C146" s="5" t="s">
        <v>106</v>
      </c>
      <c r="D146" s="5" t="s">
        <v>857</v>
      </c>
      <c r="E146" s="5" t="s">
        <v>292</v>
      </c>
      <c r="F146" s="5" t="s">
        <v>180</v>
      </c>
      <c r="G146" s="5" t="s">
        <v>275</v>
      </c>
      <c r="H146" s="5" t="s">
        <v>365</v>
      </c>
      <c r="I146" s="5" t="s">
        <v>858</v>
      </c>
      <c r="J146" s="5" t="s">
        <v>859</v>
      </c>
      <c r="K146" s="5" t="s">
        <v>860</v>
      </c>
      <c r="L146" s="5">
        <v>4000</v>
      </c>
      <c r="M146" s="14">
        <v>4856</v>
      </c>
    </row>
    <row r="147" spans="1:13" x14ac:dyDescent="0.3">
      <c r="A147" s="13" t="s">
        <v>861</v>
      </c>
      <c r="B147" s="8" t="s">
        <v>101</v>
      </c>
      <c r="C147" s="8" t="s">
        <v>102</v>
      </c>
      <c r="D147" s="8" t="s">
        <v>862</v>
      </c>
      <c r="E147" s="8" t="s">
        <v>187</v>
      </c>
      <c r="F147" s="8" t="s">
        <v>155</v>
      </c>
      <c r="G147" s="8" t="s">
        <v>318</v>
      </c>
      <c r="H147" s="8" t="s">
        <v>319</v>
      </c>
      <c r="I147" s="8" t="s">
        <v>863</v>
      </c>
      <c r="J147" s="8" t="s">
        <v>443</v>
      </c>
      <c r="K147" s="8"/>
      <c r="L147" s="8">
        <v>10000</v>
      </c>
      <c r="M147" s="15">
        <v>7305</v>
      </c>
    </row>
    <row r="148" spans="1:13" x14ac:dyDescent="0.3">
      <c r="A148" s="12" t="s">
        <v>864</v>
      </c>
      <c r="B148" s="5" t="s">
        <v>136</v>
      </c>
      <c r="C148" s="5" t="s">
        <v>137</v>
      </c>
      <c r="D148" s="5" t="s">
        <v>865</v>
      </c>
      <c r="E148" s="5" t="s">
        <v>446</v>
      </c>
      <c r="F148" s="5" t="s">
        <v>183</v>
      </c>
      <c r="G148" s="5" t="s">
        <v>509</v>
      </c>
      <c r="H148" s="5" t="s">
        <v>314</v>
      </c>
      <c r="I148" s="5" t="s">
        <v>866</v>
      </c>
      <c r="J148" s="5" t="s">
        <v>540</v>
      </c>
      <c r="K148" s="5" t="s">
        <v>867</v>
      </c>
      <c r="L148" s="5">
        <v>2000</v>
      </c>
      <c r="M148" s="14">
        <v>2123</v>
      </c>
    </row>
    <row r="149" spans="1:13" x14ac:dyDescent="0.3">
      <c r="A149" s="13" t="s">
        <v>868</v>
      </c>
      <c r="B149" s="8" t="s">
        <v>96</v>
      </c>
      <c r="C149" s="8" t="s">
        <v>97</v>
      </c>
      <c r="D149" s="8" t="s">
        <v>869</v>
      </c>
      <c r="E149" s="8" t="s">
        <v>300</v>
      </c>
      <c r="F149" s="8" t="s">
        <v>153</v>
      </c>
      <c r="G149" s="8" t="s">
        <v>250</v>
      </c>
      <c r="H149" s="8" t="s">
        <v>351</v>
      </c>
      <c r="I149" s="8" t="s">
        <v>870</v>
      </c>
      <c r="J149" s="8" t="s">
        <v>871</v>
      </c>
      <c r="K149" s="8"/>
      <c r="L149" s="8">
        <v>2000</v>
      </c>
      <c r="M149" s="15">
        <v>0</v>
      </c>
    </row>
    <row r="150" spans="1:13" x14ac:dyDescent="0.3">
      <c r="A150" s="12" t="s">
        <v>872</v>
      </c>
      <c r="B150" s="5" t="s">
        <v>122</v>
      </c>
      <c r="C150" s="5" t="s">
        <v>123</v>
      </c>
      <c r="D150" s="5" t="s">
        <v>873</v>
      </c>
      <c r="E150" s="5" t="s">
        <v>335</v>
      </c>
      <c r="F150" s="5" t="s">
        <v>874</v>
      </c>
      <c r="G150" s="5" t="s">
        <v>293</v>
      </c>
      <c r="H150" s="5" t="s">
        <v>251</v>
      </c>
      <c r="I150" s="5" t="s">
        <v>875</v>
      </c>
      <c r="J150" s="5" t="s">
        <v>876</v>
      </c>
      <c r="K150" s="5"/>
      <c r="L150" s="5">
        <v>8000</v>
      </c>
      <c r="M150" s="14">
        <v>5250</v>
      </c>
    </row>
    <row r="151" spans="1:13" x14ac:dyDescent="0.3">
      <c r="A151" s="13" t="s">
        <v>877</v>
      </c>
      <c r="B151" s="8" t="s">
        <v>140</v>
      </c>
      <c r="C151" s="8" t="s">
        <v>141</v>
      </c>
      <c r="D151" s="8" t="s">
        <v>873</v>
      </c>
      <c r="E151" s="8" t="s">
        <v>405</v>
      </c>
      <c r="F151" s="8" t="s">
        <v>193</v>
      </c>
      <c r="G151" s="8" t="s">
        <v>237</v>
      </c>
      <c r="H151" s="8" t="s">
        <v>365</v>
      </c>
      <c r="I151" s="8" t="s">
        <v>878</v>
      </c>
      <c r="J151" s="8" t="s">
        <v>879</v>
      </c>
      <c r="K151" s="8" t="s">
        <v>880</v>
      </c>
      <c r="L151" s="8">
        <v>6000</v>
      </c>
      <c r="M151" s="15">
        <v>8177</v>
      </c>
    </row>
    <row r="152" spans="1:13" x14ac:dyDescent="0.3">
      <c r="A152" s="12" t="s">
        <v>881</v>
      </c>
      <c r="B152" s="5" t="s">
        <v>101</v>
      </c>
      <c r="C152" s="5" t="s">
        <v>102</v>
      </c>
      <c r="D152" s="5" t="s">
        <v>882</v>
      </c>
      <c r="E152" s="5" t="s">
        <v>219</v>
      </c>
      <c r="F152" s="5" t="s">
        <v>169</v>
      </c>
      <c r="G152" s="5" t="s">
        <v>318</v>
      </c>
      <c r="H152" s="5" t="s">
        <v>245</v>
      </c>
      <c r="I152" s="5" t="s">
        <v>734</v>
      </c>
      <c r="J152" s="5" t="s">
        <v>883</v>
      </c>
      <c r="K152" s="5"/>
      <c r="L152" s="5">
        <v>5000</v>
      </c>
      <c r="M152" s="14">
        <v>1275</v>
      </c>
    </row>
    <row r="153" spans="1:13" x14ac:dyDescent="0.3">
      <c r="A153" s="13" t="s">
        <v>884</v>
      </c>
      <c r="B153" s="8" t="s">
        <v>105</v>
      </c>
      <c r="C153" s="8" t="s">
        <v>106</v>
      </c>
      <c r="D153" s="8" t="s">
        <v>885</v>
      </c>
      <c r="E153" s="8" t="s">
        <v>481</v>
      </c>
      <c r="F153" s="8" t="s">
        <v>158</v>
      </c>
      <c r="G153" s="8" t="s">
        <v>318</v>
      </c>
      <c r="H153" s="8" t="s">
        <v>287</v>
      </c>
      <c r="I153" s="8" t="s">
        <v>886</v>
      </c>
      <c r="J153" s="8" t="s">
        <v>887</v>
      </c>
      <c r="K153" s="8"/>
      <c r="L153" s="8">
        <v>8000</v>
      </c>
      <c r="M153" s="15">
        <v>1639</v>
      </c>
    </row>
    <row r="154" spans="1:13" x14ac:dyDescent="0.3">
      <c r="A154" s="12" t="s">
        <v>888</v>
      </c>
      <c r="B154" s="5" t="s">
        <v>126</v>
      </c>
      <c r="C154" s="5" t="s">
        <v>127</v>
      </c>
      <c r="D154" s="5" t="s">
        <v>889</v>
      </c>
      <c r="E154" s="5" t="s">
        <v>292</v>
      </c>
      <c r="F154" s="5" t="s">
        <v>214</v>
      </c>
      <c r="G154" s="5" t="s">
        <v>509</v>
      </c>
      <c r="H154" s="5" t="s">
        <v>238</v>
      </c>
      <c r="I154" s="5" t="s">
        <v>890</v>
      </c>
      <c r="J154" s="5" t="s">
        <v>891</v>
      </c>
      <c r="K154" s="5" t="s">
        <v>892</v>
      </c>
      <c r="L154" s="5">
        <v>5000</v>
      </c>
      <c r="M154" s="14">
        <v>6660</v>
      </c>
    </row>
    <row r="155" spans="1:13" x14ac:dyDescent="0.3">
      <c r="A155" s="13" t="s">
        <v>893</v>
      </c>
      <c r="B155" s="8" t="s">
        <v>86</v>
      </c>
      <c r="C155" s="8" t="s">
        <v>87</v>
      </c>
      <c r="D155" s="8" t="s">
        <v>385</v>
      </c>
      <c r="E155" s="8" t="s">
        <v>206</v>
      </c>
      <c r="F155" s="8" t="s">
        <v>200</v>
      </c>
      <c r="G155" s="8" t="s">
        <v>509</v>
      </c>
      <c r="H155" s="8" t="s">
        <v>440</v>
      </c>
      <c r="I155" s="8" t="s">
        <v>894</v>
      </c>
      <c r="J155" s="8" t="s">
        <v>493</v>
      </c>
      <c r="K155" s="8" t="s">
        <v>895</v>
      </c>
      <c r="L155" s="8">
        <v>2000</v>
      </c>
      <c r="M155" s="15">
        <v>1736</v>
      </c>
    </row>
    <row r="156" spans="1:13" x14ac:dyDescent="0.3">
      <c r="A156" s="12" t="s">
        <v>896</v>
      </c>
      <c r="B156" s="5" t="s">
        <v>96</v>
      </c>
      <c r="C156" s="5" t="s">
        <v>97</v>
      </c>
      <c r="D156" s="5" t="s">
        <v>612</v>
      </c>
      <c r="E156" s="5" t="s">
        <v>395</v>
      </c>
      <c r="F156" s="5" t="s">
        <v>167</v>
      </c>
      <c r="G156" s="5" t="s">
        <v>301</v>
      </c>
      <c r="H156" s="5" t="s">
        <v>356</v>
      </c>
      <c r="I156" s="5" t="s">
        <v>897</v>
      </c>
      <c r="J156" s="5" t="s">
        <v>898</v>
      </c>
      <c r="K156" s="5" t="s">
        <v>899</v>
      </c>
      <c r="L156" s="5">
        <v>4000</v>
      </c>
      <c r="M156" s="14">
        <v>3665</v>
      </c>
    </row>
    <row r="157" spans="1:13" x14ac:dyDescent="0.3">
      <c r="A157" s="13" t="s">
        <v>900</v>
      </c>
      <c r="B157" s="8" t="s">
        <v>109</v>
      </c>
      <c r="C157" s="8" t="s">
        <v>110</v>
      </c>
      <c r="D157" s="8" t="s">
        <v>901</v>
      </c>
      <c r="E157" s="8" t="s">
        <v>533</v>
      </c>
      <c r="F157" s="8" t="s">
        <v>214</v>
      </c>
      <c r="G157" s="8" t="s">
        <v>250</v>
      </c>
      <c r="H157" s="8" t="s">
        <v>314</v>
      </c>
      <c r="I157" s="8" t="s">
        <v>902</v>
      </c>
      <c r="J157" s="8" t="s">
        <v>903</v>
      </c>
      <c r="K157" s="8" t="s">
        <v>904</v>
      </c>
      <c r="L157" s="8">
        <v>5000</v>
      </c>
      <c r="M157" s="15"/>
    </row>
    <row r="158" spans="1:13" x14ac:dyDescent="0.3">
      <c r="A158" s="12" t="s">
        <v>905</v>
      </c>
      <c r="B158" s="5" t="s">
        <v>101</v>
      </c>
      <c r="C158" s="5" t="s">
        <v>102</v>
      </c>
      <c r="D158" s="5" t="s">
        <v>906</v>
      </c>
      <c r="E158" s="5" t="s">
        <v>219</v>
      </c>
      <c r="F158" s="5" t="s">
        <v>149</v>
      </c>
      <c r="G158" s="5" t="s">
        <v>318</v>
      </c>
      <c r="H158" s="5" t="s">
        <v>356</v>
      </c>
      <c r="I158" s="5" t="s">
        <v>907</v>
      </c>
      <c r="J158" s="5" t="s">
        <v>908</v>
      </c>
      <c r="K158" s="5" t="s">
        <v>909</v>
      </c>
      <c r="L158" s="5">
        <v>2500</v>
      </c>
      <c r="M158" s="14">
        <v>3431</v>
      </c>
    </row>
    <row r="159" spans="1:13" x14ac:dyDescent="0.3">
      <c r="A159" s="13" t="s">
        <v>910</v>
      </c>
      <c r="B159" s="8" t="s">
        <v>140</v>
      </c>
      <c r="C159" s="8" t="s">
        <v>141</v>
      </c>
      <c r="D159" s="8" t="s">
        <v>537</v>
      </c>
      <c r="E159" s="8" t="s">
        <v>187</v>
      </c>
      <c r="F159" s="8" t="s">
        <v>176</v>
      </c>
      <c r="G159" s="8" t="s">
        <v>264</v>
      </c>
      <c r="H159" s="8" t="s">
        <v>314</v>
      </c>
      <c r="I159" s="8" t="s">
        <v>911</v>
      </c>
      <c r="J159" s="8" t="s">
        <v>912</v>
      </c>
      <c r="K159" s="8" t="s">
        <v>913</v>
      </c>
      <c r="L159" s="8">
        <v>1500</v>
      </c>
      <c r="M159" s="15">
        <v>1522</v>
      </c>
    </row>
    <row r="160" spans="1:13" x14ac:dyDescent="0.3">
      <c r="A160" s="12" t="s">
        <v>914</v>
      </c>
      <c r="B160" s="5" t="s">
        <v>140</v>
      </c>
      <c r="C160" s="5" t="s">
        <v>141</v>
      </c>
      <c r="D160" s="5" t="s">
        <v>915</v>
      </c>
      <c r="E160" s="5" t="s">
        <v>533</v>
      </c>
      <c r="F160" s="5" t="s">
        <v>214</v>
      </c>
      <c r="G160" s="5" t="s">
        <v>318</v>
      </c>
      <c r="H160" s="5" t="s">
        <v>258</v>
      </c>
      <c r="I160" s="5" t="s">
        <v>916</v>
      </c>
      <c r="J160" s="5" t="s">
        <v>917</v>
      </c>
      <c r="K160" s="5" t="s">
        <v>918</v>
      </c>
      <c r="L160" s="5">
        <v>6000</v>
      </c>
      <c r="M160" s="14">
        <v>4767</v>
      </c>
    </row>
    <row r="161" spans="1:13" x14ac:dyDescent="0.3">
      <c r="A161" s="13" t="s">
        <v>919</v>
      </c>
      <c r="B161" s="8" t="s">
        <v>91</v>
      </c>
      <c r="C161" s="8" t="s">
        <v>92</v>
      </c>
      <c r="D161" s="8" t="s">
        <v>920</v>
      </c>
      <c r="E161" s="8" t="s">
        <v>439</v>
      </c>
      <c r="F161" s="8" t="s">
        <v>190</v>
      </c>
      <c r="G161" s="8" t="s">
        <v>244</v>
      </c>
      <c r="H161" s="8" t="s">
        <v>314</v>
      </c>
      <c r="I161" s="8" t="s">
        <v>921</v>
      </c>
      <c r="J161" s="8" t="s">
        <v>464</v>
      </c>
      <c r="K161" s="8" t="s">
        <v>922</v>
      </c>
      <c r="L161" s="8">
        <v>10000</v>
      </c>
      <c r="M161" s="15">
        <v>13448</v>
      </c>
    </row>
    <row r="162" spans="1:13" x14ac:dyDescent="0.3">
      <c r="A162" s="12" t="s">
        <v>923</v>
      </c>
      <c r="B162" s="5" t="s">
        <v>86</v>
      </c>
      <c r="C162" s="5" t="s">
        <v>87</v>
      </c>
      <c r="D162" s="5" t="s">
        <v>471</v>
      </c>
      <c r="E162" s="5"/>
      <c r="F162" s="5" t="s">
        <v>183</v>
      </c>
      <c r="G162" s="5" t="s">
        <v>509</v>
      </c>
      <c r="H162" s="5" t="s">
        <v>302</v>
      </c>
      <c r="I162" s="5" t="s">
        <v>924</v>
      </c>
      <c r="J162" s="5" t="s">
        <v>925</v>
      </c>
      <c r="K162" s="5"/>
      <c r="L162" s="5">
        <v>10000</v>
      </c>
      <c r="M162" s="14">
        <v>5205</v>
      </c>
    </row>
    <row r="163" spans="1:13" x14ac:dyDescent="0.3">
      <c r="A163" s="13" t="s">
        <v>926</v>
      </c>
      <c r="B163" s="8" t="s">
        <v>105</v>
      </c>
      <c r="C163" s="8" t="s">
        <v>106</v>
      </c>
      <c r="D163" s="8" t="s">
        <v>927</v>
      </c>
      <c r="E163" s="8" t="s">
        <v>410</v>
      </c>
      <c r="F163" s="8" t="s">
        <v>928</v>
      </c>
      <c r="G163" s="8" t="s">
        <v>275</v>
      </c>
      <c r="H163" s="8" t="s">
        <v>314</v>
      </c>
      <c r="I163" s="8" t="s">
        <v>929</v>
      </c>
      <c r="J163" s="8" t="s">
        <v>930</v>
      </c>
      <c r="K163" s="8" t="s">
        <v>770</v>
      </c>
      <c r="L163" s="8">
        <v>6000</v>
      </c>
      <c r="M163" s="15">
        <v>5228</v>
      </c>
    </row>
    <row r="164" spans="1:13" x14ac:dyDescent="0.3">
      <c r="A164" s="12" t="s">
        <v>931</v>
      </c>
      <c r="B164" s="5" t="s">
        <v>105</v>
      </c>
      <c r="C164" s="5" t="s">
        <v>106</v>
      </c>
      <c r="D164" s="5" t="s">
        <v>932</v>
      </c>
      <c r="E164" s="5" t="s">
        <v>335</v>
      </c>
      <c r="F164" s="5" t="s">
        <v>216</v>
      </c>
      <c r="G164" s="5" t="s">
        <v>237</v>
      </c>
      <c r="H164" s="5" t="s">
        <v>287</v>
      </c>
      <c r="I164" s="5" t="s">
        <v>933</v>
      </c>
      <c r="J164" s="5" t="s">
        <v>934</v>
      </c>
      <c r="K164" s="5"/>
      <c r="L164" s="5">
        <v>10000</v>
      </c>
      <c r="M164" s="14">
        <v>3846</v>
      </c>
    </row>
    <row r="165" spans="1:13" x14ac:dyDescent="0.3">
      <c r="A165" s="13" t="s">
        <v>935</v>
      </c>
      <c r="B165" s="8" t="s">
        <v>101</v>
      </c>
      <c r="C165" s="8" t="s">
        <v>102</v>
      </c>
      <c r="D165" s="8" t="s">
        <v>936</v>
      </c>
      <c r="E165" s="8" t="s">
        <v>256</v>
      </c>
      <c r="F165" s="8" t="s">
        <v>937</v>
      </c>
      <c r="G165" s="8" t="s">
        <v>257</v>
      </c>
      <c r="H165" s="8" t="s">
        <v>287</v>
      </c>
      <c r="I165" s="8" t="s">
        <v>938</v>
      </c>
      <c r="J165" s="8" t="s">
        <v>574</v>
      </c>
      <c r="K165" s="8"/>
      <c r="L165" s="8">
        <v>1500</v>
      </c>
      <c r="M165" s="15">
        <v>1055</v>
      </c>
    </row>
    <row r="166" spans="1:13" x14ac:dyDescent="0.3">
      <c r="A166" s="12" t="s">
        <v>939</v>
      </c>
      <c r="B166" s="5" t="s">
        <v>113</v>
      </c>
      <c r="C166" s="5" t="s">
        <v>114</v>
      </c>
      <c r="D166" s="5" t="s">
        <v>389</v>
      </c>
      <c r="E166" s="5" t="s">
        <v>424</v>
      </c>
      <c r="F166" s="5" t="s">
        <v>214</v>
      </c>
      <c r="G166" s="5" t="s">
        <v>281</v>
      </c>
      <c r="H166" s="5" t="s">
        <v>324</v>
      </c>
      <c r="I166" s="5" t="s">
        <v>940</v>
      </c>
      <c r="J166" s="5" t="s">
        <v>941</v>
      </c>
      <c r="K166" s="5" t="s">
        <v>941</v>
      </c>
      <c r="L166" s="5">
        <v>10000</v>
      </c>
      <c r="M166" s="14">
        <v>8702</v>
      </c>
    </row>
    <row r="167" spans="1:13" x14ac:dyDescent="0.3">
      <c r="A167" s="13" t="s">
        <v>942</v>
      </c>
      <c r="B167" s="8" t="s">
        <v>122</v>
      </c>
      <c r="C167" s="8" t="s">
        <v>123</v>
      </c>
      <c r="D167" s="8" t="s">
        <v>686</v>
      </c>
      <c r="E167" s="8" t="s">
        <v>706</v>
      </c>
      <c r="F167" s="8" t="s">
        <v>186</v>
      </c>
      <c r="G167" s="8" t="s">
        <v>275</v>
      </c>
      <c r="H167" s="8" t="s">
        <v>294</v>
      </c>
      <c r="I167" s="8" t="s">
        <v>757</v>
      </c>
      <c r="J167" s="8" t="s">
        <v>943</v>
      </c>
      <c r="K167" s="8" t="s">
        <v>944</v>
      </c>
      <c r="L167" s="8">
        <v>3000</v>
      </c>
      <c r="M167" s="15">
        <v>2904</v>
      </c>
    </row>
    <row r="168" spans="1:13" x14ac:dyDescent="0.3">
      <c r="A168" s="12" t="s">
        <v>945</v>
      </c>
      <c r="B168" s="5" t="s">
        <v>126</v>
      </c>
      <c r="C168" s="5" t="s">
        <v>127</v>
      </c>
      <c r="D168" s="5" t="s">
        <v>946</v>
      </c>
      <c r="E168" s="5" t="s">
        <v>187</v>
      </c>
      <c r="F168" s="5" t="s">
        <v>212</v>
      </c>
      <c r="G168" s="5" t="s">
        <v>264</v>
      </c>
      <c r="H168" s="5" t="s">
        <v>356</v>
      </c>
      <c r="I168" s="5" t="s">
        <v>947</v>
      </c>
      <c r="J168" s="5" t="s">
        <v>948</v>
      </c>
      <c r="K168" s="5" t="s">
        <v>435</v>
      </c>
      <c r="L168" s="5">
        <v>6000</v>
      </c>
      <c r="M168" s="14">
        <v>8007</v>
      </c>
    </row>
    <row r="169" spans="1:13" x14ac:dyDescent="0.3">
      <c r="A169" s="13" t="s">
        <v>949</v>
      </c>
      <c r="B169" s="8" t="s">
        <v>136</v>
      </c>
      <c r="C169" s="8" t="s">
        <v>137</v>
      </c>
      <c r="D169" s="8" t="s">
        <v>950</v>
      </c>
      <c r="E169" s="8" t="s">
        <v>329</v>
      </c>
      <c r="F169" s="8" t="s">
        <v>224</v>
      </c>
      <c r="G169" s="8" t="s">
        <v>350</v>
      </c>
      <c r="H169" s="8" t="s">
        <v>245</v>
      </c>
      <c r="I169" s="8" t="s">
        <v>951</v>
      </c>
      <c r="J169" s="8" t="s">
        <v>952</v>
      </c>
      <c r="K169" s="8"/>
      <c r="L169" s="8">
        <v>8000</v>
      </c>
      <c r="M169" s="15"/>
    </row>
    <row r="170" spans="1:13" x14ac:dyDescent="0.3">
      <c r="A170" s="12" t="s">
        <v>953</v>
      </c>
      <c r="B170" s="5" t="s">
        <v>118</v>
      </c>
      <c r="C170" s="5" t="s">
        <v>119</v>
      </c>
      <c r="D170" s="5" t="s">
        <v>954</v>
      </c>
      <c r="E170" s="5" t="s">
        <v>467</v>
      </c>
      <c r="F170" s="5" t="s">
        <v>190</v>
      </c>
      <c r="G170" s="5" t="s">
        <v>293</v>
      </c>
      <c r="H170" s="5" t="s">
        <v>487</v>
      </c>
      <c r="I170" s="5" t="s">
        <v>955</v>
      </c>
      <c r="J170" s="5" t="s">
        <v>929</v>
      </c>
      <c r="K170" s="5" t="s">
        <v>956</v>
      </c>
      <c r="L170" s="5">
        <v>5000</v>
      </c>
      <c r="M170" s="14">
        <v>5985</v>
      </c>
    </row>
    <row r="171" spans="1:13" x14ac:dyDescent="0.3">
      <c r="A171" s="13" t="s">
        <v>957</v>
      </c>
      <c r="B171" s="8" t="s">
        <v>140</v>
      </c>
      <c r="C171" s="8" t="s">
        <v>141</v>
      </c>
      <c r="D171" s="8" t="s">
        <v>958</v>
      </c>
      <c r="E171" s="8" t="s">
        <v>335</v>
      </c>
      <c r="F171" s="8" t="s">
        <v>190</v>
      </c>
      <c r="G171" s="8" t="s">
        <v>237</v>
      </c>
      <c r="H171" s="8" t="s">
        <v>319</v>
      </c>
      <c r="I171" s="8" t="s">
        <v>271</v>
      </c>
      <c r="J171" s="8" t="s">
        <v>959</v>
      </c>
      <c r="K171" s="8"/>
      <c r="L171" s="8">
        <v>2500</v>
      </c>
      <c r="M171" s="15">
        <v>1707</v>
      </c>
    </row>
    <row r="172" spans="1:13" x14ac:dyDescent="0.3">
      <c r="A172" s="12" t="s">
        <v>960</v>
      </c>
      <c r="B172" s="5" t="s">
        <v>129</v>
      </c>
      <c r="C172" s="5" t="s">
        <v>130</v>
      </c>
      <c r="D172" s="5" t="s">
        <v>961</v>
      </c>
      <c r="E172" s="5" t="s">
        <v>256</v>
      </c>
      <c r="F172" s="5" t="s">
        <v>209</v>
      </c>
      <c r="G172" s="5" t="s">
        <v>509</v>
      </c>
      <c r="H172" s="5" t="s">
        <v>365</v>
      </c>
      <c r="I172" s="5" t="s">
        <v>780</v>
      </c>
      <c r="J172" s="5" t="s">
        <v>771</v>
      </c>
      <c r="K172" s="5" t="s">
        <v>962</v>
      </c>
      <c r="L172" s="5">
        <v>2000</v>
      </c>
      <c r="M172" s="14">
        <v>2260</v>
      </c>
    </row>
    <row r="173" spans="1:13" x14ac:dyDescent="0.3">
      <c r="A173" s="13" t="s">
        <v>963</v>
      </c>
      <c r="B173" s="8" t="s">
        <v>113</v>
      </c>
      <c r="C173" s="8" t="s">
        <v>114</v>
      </c>
      <c r="D173" s="8" t="s">
        <v>710</v>
      </c>
      <c r="E173" s="8" t="s">
        <v>410</v>
      </c>
      <c r="F173" s="8" t="s">
        <v>155</v>
      </c>
      <c r="G173" s="8" t="s">
        <v>250</v>
      </c>
      <c r="H173" s="8" t="s">
        <v>294</v>
      </c>
      <c r="I173" s="8" t="s">
        <v>964</v>
      </c>
      <c r="J173" s="8" t="s">
        <v>100</v>
      </c>
      <c r="K173" s="8" t="s">
        <v>746</v>
      </c>
      <c r="L173" s="8">
        <v>10000</v>
      </c>
      <c r="M173" s="15">
        <v>11467</v>
      </c>
    </row>
    <row r="174" spans="1:13" x14ac:dyDescent="0.3">
      <c r="A174" s="12" t="s">
        <v>965</v>
      </c>
      <c r="B174" s="5" t="s">
        <v>113</v>
      </c>
      <c r="C174" s="5" t="s">
        <v>114</v>
      </c>
      <c r="D174" s="5" t="s">
        <v>966</v>
      </c>
      <c r="E174" s="5" t="s">
        <v>219</v>
      </c>
      <c r="F174" s="5" t="s">
        <v>700</v>
      </c>
      <c r="G174" s="5" t="s">
        <v>244</v>
      </c>
      <c r="H174" s="5" t="s">
        <v>245</v>
      </c>
      <c r="I174" s="5" t="s">
        <v>783</v>
      </c>
      <c r="J174" s="5" t="s">
        <v>967</v>
      </c>
      <c r="K174" s="5"/>
      <c r="L174" s="5">
        <v>8000</v>
      </c>
      <c r="M174" s="14">
        <v>3789</v>
      </c>
    </row>
    <row r="175" spans="1:13" x14ac:dyDescent="0.3">
      <c r="A175" s="13" t="s">
        <v>968</v>
      </c>
      <c r="B175" s="8" t="s">
        <v>91</v>
      </c>
      <c r="C175" s="8" t="s">
        <v>92</v>
      </c>
      <c r="D175" s="8" t="s">
        <v>969</v>
      </c>
      <c r="E175" s="8" t="s">
        <v>410</v>
      </c>
      <c r="F175" s="8" t="s">
        <v>158</v>
      </c>
      <c r="G175" s="8" t="s">
        <v>264</v>
      </c>
      <c r="H175" s="8" t="s">
        <v>258</v>
      </c>
      <c r="I175" s="8" t="s">
        <v>970</v>
      </c>
      <c r="J175" s="8" t="s">
        <v>971</v>
      </c>
      <c r="K175" s="8" t="s">
        <v>972</v>
      </c>
      <c r="L175" s="8">
        <v>2500</v>
      </c>
      <c r="M175" s="15">
        <v>3247</v>
      </c>
    </row>
    <row r="176" spans="1:13" x14ac:dyDescent="0.3">
      <c r="A176" s="12" t="s">
        <v>973</v>
      </c>
      <c r="B176" s="5" t="s">
        <v>126</v>
      </c>
      <c r="C176" s="5" t="s">
        <v>127</v>
      </c>
      <c r="D176" s="5" t="s">
        <v>974</v>
      </c>
      <c r="E176" s="5" t="s">
        <v>410</v>
      </c>
      <c r="F176" s="5" t="s">
        <v>172</v>
      </c>
      <c r="G176" s="5" t="s">
        <v>509</v>
      </c>
      <c r="H176" s="5" t="s">
        <v>351</v>
      </c>
      <c r="I176" s="5" t="s">
        <v>619</v>
      </c>
      <c r="J176" s="5" t="s">
        <v>975</v>
      </c>
      <c r="K176" s="5"/>
      <c r="L176" s="5">
        <v>6000</v>
      </c>
      <c r="M176" s="14">
        <v>0</v>
      </c>
    </row>
    <row r="177" spans="1:13" x14ac:dyDescent="0.3">
      <c r="A177" s="13" t="s">
        <v>976</v>
      </c>
      <c r="B177" s="8" t="s">
        <v>126</v>
      </c>
      <c r="C177" s="8" t="s">
        <v>127</v>
      </c>
      <c r="D177" s="8" t="s">
        <v>306</v>
      </c>
      <c r="E177" s="8" t="s">
        <v>150</v>
      </c>
      <c r="F177" s="8" t="s">
        <v>149</v>
      </c>
      <c r="G177" s="8" t="s">
        <v>364</v>
      </c>
      <c r="H177" s="8" t="s">
        <v>302</v>
      </c>
      <c r="I177" s="8" t="s">
        <v>977</v>
      </c>
      <c r="J177" s="8" t="s">
        <v>978</v>
      </c>
      <c r="K177" s="8"/>
      <c r="L177" s="8">
        <v>6000</v>
      </c>
      <c r="M177" s="15">
        <v>4502</v>
      </c>
    </row>
    <row r="178" spans="1:13" x14ac:dyDescent="0.3">
      <c r="A178" s="12" t="s">
        <v>979</v>
      </c>
      <c r="B178" s="5" t="s">
        <v>126</v>
      </c>
      <c r="C178" s="5" t="s">
        <v>127</v>
      </c>
      <c r="D178" s="5" t="s">
        <v>980</v>
      </c>
      <c r="E178" s="5" t="s">
        <v>533</v>
      </c>
      <c r="F178" s="5" t="s">
        <v>172</v>
      </c>
      <c r="G178" s="5" t="s">
        <v>364</v>
      </c>
      <c r="H178" s="5" t="s">
        <v>356</v>
      </c>
      <c r="I178" s="5" t="s">
        <v>981</v>
      </c>
      <c r="J178" s="5" t="s">
        <v>982</v>
      </c>
      <c r="K178" s="5" t="s">
        <v>983</v>
      </c>
      <c r="L178" s="5">
        <v>6000</v>
      </c>
      <c r="M178" s="14">
        <v>4468</v>
      </c>
    </row>
    <row r="179" spans="1:13" x14ac:dyDescent="0.3">
      <c r="A179" s="13" t="s">
        <v>984</v>
      </c>
      <c r="B179" s="8" t="s">
        <v>133</v>
      </c>
      <c r="C179" s="8" t="s">
        <v>134</v>
      </c>
      <c r="D179" s="8" t="s">
        <v>985</v>
      </c>
      <c r="E179" s="8" t="s">
        <v>533</v>
      </c>
      <c r="F179" s="8" t="s">
        <v>200</v>
      </c>
      <c r="G179" s="8" t="s">
        <v>509</v>
      </c>
      <c r="H179" s="8" t="s">
        <v>440</v>
      </c>
      <c r="I179" s="8" t="s">
        <v>986</v>
      </c>
      <c r="J179" s="8" t="s">
        <v>987</v>
      </c>
      <c r="K179" s="8" t="s">
        <v>988</v>
      </c>
      <c r="L179" s="8">
        <v>1500</v>
      </c>
      <c r="M179" s="15">
        <v>1849</v>
      </c>
    </row>
    <row r="180" spans="1:13" x14ac:dyDescent="0.3">
      <c r="A180" s="12" t="s">
        <v>989</v>
      </c>
      <c r="B180" s="5" t="s">
        <v>136</v>
      </c>
      <c r="C180" s="5" t="s">
        <v>137</v>
      </c>
      <c r="D180" s="5" t="s">
        <v>990</v>
      </c>
      <c r="E180" s="5" t="s">
        <v>236</v>
      </c>
      <c r="F180" s="5" t="s">
        <v>203</v>
      </c>
      <c r="G180" s="5" t="s">
        <v>293</v>
      </c>
      <c r="H180" s="5" t="s">
        <v>294</v>
      </c>
      <c r="I180" s="5" t="s">
        <v>991</v>
      </c>
      <c r="J180" s="5" t="s">
        <v>829</v>
      </c>
      <c r="K180" s="5" t="s">
        <v>934</v>
      </c>
      <c r="L180" s="5">
        <v>6000</v>
      </c>
      <c r="M180" s="14">
        <v>7063</v>
      </c>
    </row>
    <row r="181" spans="1:13" x14ac:dyDescent="0.3">
      <c r="A181" s="13" t="s">
        <v>456</v>
      </c>
      <c r="B181" s="8" t="s">
        <v>109</v>
      </c>
      <c r="C181" s="8" t="s">
        <v>110</v>
      </c>
      <c r="D181" s="8" t="s">
        <v>457</v>
      </c>
      <c r="E181" s="8" t="s">
        <v>150</v>
      </c>
      <c r="F181" s="8" t="s">
        <v>190</v>
      </c>
      <c r="G181" s="8" t="s">
        <v>250</v>
      </c>
      <c r="H181" s="8" t="s">
        <v>294</v>
      </c>
      <c r="I181" s="8" t="s">
        <v>458</v>
      </c>
      <c r="J181" s="8" t="s">
        <v>459</v>
      </c>
      <c r="K181" s="8" t="s">
        <v>460</v>
      </c>
      <c r="L181" s="8">
        <v>1500</v>
      </c>
      <c r="M181" s="15">
        <v>1674</v>
      </c>
    </row>
    <row r="182" spans="1:13" x14ac:dyDescent="0.3">
      <c r="A182" s="12" t="s">
        <v>992</v>
      </c>
      <c r="B182" s="5" t="s">
        <v>91</v>
      </c>
      <c r="C182" s="5" t="s">
        <v>92</v>
      </c>
      <c r="D182" s="5" t="s">
        <v>363</v>
      </c>
      <c r="E182" s="5" t="s">
        <v>446</v>
      </c>
      <c r="F182" s="5" t="s">
        <v>176</v>
      </c>
      <c r="G182" s="5" t="s">
        <v>364</v>
      </c>
      <c r="H182" s="5" t="s">
        <v>324</v>
      </c>
      <c r="I182" s="5" t="s">
        <v>934</v>
      </c>
      <c r="J182" s="5" t="s">
        <v>993</v>
      </c>
      <c r="K182" s="5" t="s">
        <v>993</v>
      </c>
      <c r="L182" s="5">
        <v>3000</v>
      </c>
      <c r="M182" s="14">
        <v>3668</v>
      </c>
    </row>
    <row r="183" spans="1:13" x14ac:dyDescent="0.3">
      <c r="A183" s="13" t="s">
        <v>994</v>
      </c>
      <c r="B183" s="8" t="s">
        <v>126</v>
      </c>
      <c r="C183" s="8" t="s">
        <v>127</v>
      </c>
      <c r="D183" s="8" t="s">
        <v>630</v>
      </c>
      <c r="E183" s="8" t="s">
        <v>236</v>
      </c>
      <c r="F183" s="8"/>
      <c r="G183" s="8" t="s">
        <v>318</v>
      </c>
      <c r="H183" s="8" t="s">
        <v>302</v>
      </c>
      <c r="I183" s="8" t="s">
        <v>995</v>
      </c>
      <c r="J183" s="8" t="s">
        <v>996</v>
      </c>
      <c r="K183" s="8"/>
      <c r="L183" s="8">
        <v>6000</v>
      </c>
      <c r="M183" s="15">
        <v>2288</v>
      </c>
    </row>
    <row r="184" spans="1:13" x14ac:dyDescent="0.3">
      <c r="A184" s="12" t="s">
        <v>849</v>
      </c>
      <c r="B184" s="5" t="s">
        <v>129</v>
      </c>
      <c r="C184" s="5" t="s">
        <v>130</v>
      </c>
      <c r="D184" s="5" t="s">
        <v>850</v>
      </c>
      <c r="E184" s="5" t="s">
        <v>533</v>
      </c>
      <c r="F184" s="5" t="s">
        <v>161</v>
      </c>
      <c r="G184" s="5" t="s">
        <v>350</v>
      </c>
      <c r="H184" s="5" t="s">
        <v>287</v>
      </c>
      <c r="I184" s="5" t="s">
        <v>851</v>
      </c>
      <c r="J184" s="5" t="s">
        <v>407</v>
      </c>
      <c r="K184" s="5"/>
      <c r="L184" s="5">
        <v>10000</v>
      </c>
      <c r="M184" s="14">
        <v>6014</v>
      </c>
    </row>
    <row r="185" spans="1:13" x14ac:dyDescent="0.3">
      <c r="A185" s="13" t="s">
        <v>997</v>
      </c>
      <c r="B185" s="8" t="s">
        <v>109</v>
      </c>
      <c r="C185" s="8" t="s">
        <v>110</v>
      </c>
      <c r="D185" s="8" t="s">
        <v>920</v>
      </c>
      <c r="E185" s="8" t="s">
        <v>329</v>
      </c>
      <c r="F185" s="8" t="s">
        <v>203</v>
      </c>
      <c r="G185" s="8" t="s">
        <v>301</v>
      </c>
      <c r="H185" s="8" t="s">
        <v>294</v>
      </c>
      <c r="I185" s="8" t="s">
        <v>464</v>
      </c>
      <c r="J185" s="8" t="s">
        <v>746</v>
      </c>
      <c r="K185" s="8" t="s">
        <v>998</v>
      </c>
      <c r="L185" s="8">
        <v>8000</v>
      </c>
      <c r="M185" s="15">
        <v>7926</v>
      </c>
    </row>
    <row r="186" spans="1:13" x14ac:dyDescent="0.3">
      <c r="A186" s="12" t="s">
        <v>999</v>
      </c>
      <c r="B186" s="5" t="s">
        <v>91</v>
      </c>
      <c r="C186" s="5" t="s">
        <v>92</v>
      </c>
      <c r="D186" s="5" t="s">
        <v>954</v>
      </c>
      <c r="E186" s="5" t="s">
        <v>706</v>
      </c>
      <c r="F186" s="5" t="s">
        <v>212</v>
      </c>
      <c r="G186" s="5" t="s">
        <v>237</v>
      </c>
      <c r="H186" s="5" t="s">
        <v>251</v>
      </c>
      <c r="I186" s="5" t="s">
        <v>1000</v>
      </c>
      <c r="J186" s="5" t="s">
        <v>1001</v>
      </c>
      <c r="K186" s="5"/>
      <c r="L186" s="5">
        <v>6000</v>
      </c>
      <c r="M186" s="14">
        <v>4444</v>
      </c>
    </row>
    <row r="187" spans="1:13" x14ac:dyDescent="0.3">
      <c r="A187" s="13" t="s">
        <v>1002</v>
      </c>
      <c r="B187" s="8" t="s">
        <v>86</v>
      </c>
      <c r="C187" s="8" t="s">
        <v>87</v>
      </c>
      <c r="D187" s="8" t="s">
        <v>727</v>
      </c>
      <c r="E187" s="8" t="s">
        <v>467</v>
      </c>
      <c r="F187" s="8" t="s">
        <v>222</v>
      </c>
      <c r="G187" s="8" t="s">
        <v>364</v>
      </c>
      <c r="H187" s="8" t="s">
        <v>356</v>
      </c>
      <c r="I187" s="8" t="s">
        <v>794</v>
      </c>
      <c r="J187" s="8" t="s">
        <v>871</v>
      </c>
      <c r="K187" s="8" t="s">
        <v>871</v>
      </c>
      <c r="L187" s="8">
        <v>2500</v>
      </c>
      <c r="M187" s="15">
        <v>2645</v>
      </c>
    </row>
    <row r="188" spans="1:13" x14ac:dyDescent="0.3">
      <c r="A188" s="12" t="s">
        <v>1003</v>
      </c>
      <c r="B188" s="5" t="s">
        <v>96</v>
      </c>
      <c r="C188" s="5" t="s">
        <v>97</v>
      </c>
      <c r="D188" s="5" t="s">
        <v>578</v>
      </c>
      <c r="E188" s="5" t="s">
        <v>206</v>
      </c>
      <c r="F188" s="5" t="s">
        <v>176</v>
      </c>
      <c r="G188" s="5" t="s">
        <v>301</v>
      </c>
      <c r="H188" s="5" t="s">
        <v>324</v>
      </c>
      <c r="I188" s="5" t="s">
        <v>1004</v>
      </c>
      <c r="J188" s="5" t="s">
        <v>1005</v>
      </c>
      <c r="K188" s="5" t="s">
        <v>1006</v>
      </c>
      <c r="L188" s="5">
        <v>6000</v>
      </c>
      <c r="M188" s="14">
        <v>8069</v>
      </c>
    </row>
    <row r="189" spans="1:13" x14ac:dyDescent="0.3">
      <c r="A189" s="13" t="s">
        <v>1007</v>
      </c>
      <c r="B189" s="8" t="s">
        <v>126</v>
      </c>
      <c r="C189" s="8" t="s">
        <v>127</v>
      </c>
      <c r="D189" s="8" t="s">
        <v>355</v>
      </c>
      <c r="E189" s="8" t="s">
        <v>335</v>
      </c>
      <c r="F189" s="8" t="s">
        <v>205</v>
      </c>
      <c r="G189" s="8" t="s">
        <v>250</v>
      </c>
      <c r="H189" s="8" t="s">
        <v>245</v>
      </c>
      <c r="I189" s="8" t="s">
        <v>270</v>
      </c>
      <c r="J189" s="8" t="s">
        <v>878</v>
      </c>
      <c r="K189" s="8"/>
      <c r="L189" s="8">
        <v>10000</v>
      </c>
      <c r="M189" s="15">
        <v>2194</v>
      </c>
    </row>
    <row r="190" spans="1:13" x14ac:dyDescent="0.3">
      <c r="A190" s="12" t="s">
        <v>1008</v>
      </c>
      <c r="B190" s="5" t="s">
        <v>133</v>
      </c>
      <c r="C190" s="5" t="s">
        <v>134</v>
      </c>
      <c r="D190" s="5" t="s">
        <v>1009</v>
      </c>
      <c r="E190" s="5" t="s">
        <v>405</v>
      </c>
      <c r="F190" s="5" t="s">
        <v>205</v>
      </c>
      <c r="G190" s="5"/>
      <c r="H190" s="5" t="s">
        <v>276</v>
      </c>
      <c r="I190" s="5" t="s">
        <v>1010</v>
      </c>
      <c r="J190" s="5" t="s">
        <v>535</v>
      </c>
      <c r="K190" s="5"/>
      <c r="L190" s="5">
        <v>3000</v>
      </c>
      <c r="M190" s="14"/>
    </row>
    <row r="191" spans="1:13" x14ac:dyDescent="0.3">
      <c r="A191" s="13" t="s">
        <v>1011</v>
      </c>
      <c r="B191" s="8" t="s">
        <v>136</v>
      </c>
      <c r="C191" s="8" t="s">
        <v>137</v>
      </c>
      <c r="D191" s="8" t="s">
        <v>1012</v>
      </c>
      <c r="E191" s="8" t="s">
        <v>706</v>
      </c>
      <c r="F191" s="8" t="s">
        <v>155</v>
      </c>
      <c r="G191" s="8" t="s">
        <v>250</v>
      </c>
      <c r="H191" s="8" t="s">
        <v>294</v>
      </c>
      <c r="I191" s="8" t="s">
        <v>1013</v>
      </c>
      <c r="J191" s="8" t="s">
        <v>1014</v>
      </c>
      <c r="K191" s="8" t="s">
        <v>1014</v>
      </c>
      <c r="L191" s="8">
        <v>8000</v>
      </c>
      <c r="M191" s="15">
        <v>6196</v>
      </c>
    </row>
    <row r="192" spans="1:13" x14ac:dyDescent="0.3">
      <c r="A192" s="12" t="s">
        <v>1015</v>
      </c>
      <c r="B192" s="5" t="s">
        <v>109</v>
      </c>
      <c r="C192" s="5" t="s">
        <v>110</v>
      </c>
      <c r="D192" s="5" t="s">
        <v>1016</v>
      </c>
      <c r="E192" s="5" t="s">
        <v>164</v>
      </c>
      <c r="F192" s="5" t="s">
        <v>180</v>
      </c>
      <c r="G192" s="5" t="s">
        <v>275</v>
      </c>
      <c r="H192" s="5" t="s">
        <v>324</v>
      </c>
      <c r="I192" s="5" t="s">
        <v>1017</v>
      </c>
      <c r="J192" s="5" t="s">
        <v>1018</v>
      </c>
      <c r="K192" s="5" t="s">
        <v>1018</v>
      </c>
      <c r="L192" s="5">
        <v>2500</v>
      </c>
      <c r="M192" s="14">
        <v>2183</v>
      </c>
    </row>
    <row r="193" spans="1:13" x14ac:dyDescent="0.3">
      <c r="A193" s="13" t="s">
        <v>1019</v>
      </c>
      <c r="B193" s="8" t="s">
        <v>136</v>
      </c>
      <c r="C193" s="8" t="s">
        <v>137</v>
      </c>
      <c r="D193" s="8" t="s">
        <v>268</v>
      </c>
      <c r="E193" s="8" t="s">
        <v>439</v>
      </c>
      <c r="F193" s="8" t="s">
        <v>174</v>
      </c>
      <c r="G193" s="8" t="s">
        <v>293</v>
      </c>
      <c r="H193" s="8" t="s">
        <v>276</v>
      </c>
      <c r="I193" s="8" t="s">
        <v>1020</v>
      </c>
      <c r="J193" s="8" t="s">
        <v>1021</v>
      </c>
      <c r="K193" s="8"/>
      <c r="L193" s="8">
        <v>8000</v>
      </c>
      <c r="M193" s="15">
        <v>0</v>
      </c>
    </row>
    <row r="194" spans="1:13" x14ac:dyDescent="0.3">
      <c r="A194" s="12" t="s">
        <v>1022</v>
      </c>
      <c r="B194" s="5" t="s">
        <v>113</v>
      </c>
      <c r="C194" s="5" t="s">
        <v>114</v>
      </c>
      <c r="D194" s="5" t="s">
        <v>1023</v>
      </c>
      <c r="E194" s="5" t="s">
        <v>249</v>
      </c>
      <c r="F194" s="5" t="s">
        <v>163</v>
      </c>
      <c r="G194" s="5" t="s">
        <v>264</v>
      </c>
      <c r="H194" s="5" t="s">
        <v>319</v>
      </c>
      <c r="I194" s="5" t="s">
        <v>1024</v>
      </c>
      <c r="J194" s="5" t="s">
        <v>1025</v>
      </c>
      <c r="K194" s="5"/>
      <c r="L194" s="5">
        <v>2500</v>
      </c>
      <c r="M194" s="14">
        <v>1219</v>
      </c>
    </row>
    <row r="195" spans="1:13" x14ac:dyDescent="0.3">
      <c r="A195" s="13" t="s">
        <v>1026</v>
      </c>
      <c r="B195" s="8" t="s">
        <v>81</v>
      </c>
      <c r="C195" s="8" t="s">
        <v>82</v>
      </c>
      <c r="D195" s="8" t="s">
        <v>1027</v>
      </c>
      <c r="E195" s="8" t="s">
        <v>395</v>
      </c>
      <c r="F195" s="8" t="s">
        <v>214</v>
      </c>
      <c r="G195" s="8" t="s">
        <v>264</v>
      </c>
      <c r="H195" s="8" t="s">
        <v>269</v>
      </c>
      <c r="I195" s="8" t="s">
        <v>1028</v>
      </c>
      <c r="J195" s="8" t="s">
        <v>1029</v>
      </c>
      <c r="K195" s="8" t="s">
        <v>1030</v>
      </c>
      <c r="L195" s="8">
        <v>3000</v>
      </c>
      <c r="M195" s="15">
        <v>2434</v>
      </c>
    </row>
    <row r="196" spans="1:13" x14ac:dyDescent="0.3">
      <c r="A196" s="12" t="s">
        <v>1031</v>
      </c>
      <c r="B196" s="5" t="s">
        <v>118</v>
      </c>
      <c r="C196" s="5" t="s">
        <v>119</v>
      </c>
      <c r="D196" s="5" t="s">
        <v>889</v>
      </c>
      <c r="E196" s="5" t="s">
        <v>206</v>
      </c>
      <c r="F196" s="5" t="s">
        <v>155</v>
      </c>
      <c r="G196" s="5" t="s">
        <v>509</v>
      </c>
      <c r="H196" s="5" t="s">
        <v>245</v>
      </c>
      <c r="I196" s="5" t="s">
        <v>1032</v>
      </c>
      <c r="J196" s="5" t="s">
        <v>1033</v>
      </c>
      <c r="K196" s="5"/>
      <c r="L196" s="5">
        <v>6000</v>
      </c>
      <c r="M196" s="14">
        <v>4296</v>
      </c>
    </row>
    <row r="197" spans="1:13" x14ac:dyDescent="0.3">
      <c r="A197" s="13" t="s">
        <v>1034</v>
      </c>
      <c r="B197" s="8" t="s">
        <v>133</v>
      </c>
      <c r="C197" s="8" t="s">
        <v>134</v>
      </c>
      <c r="D197" s="8" t="s">
        <v>1035</v>
      </c>
      <c r="E197" s="8" t="s">
        <v>187</v>
      </c>
      <c r="F197" s="8" t="s">
        <v>218</v>
      </c>
      <c r="G197" s="8" t="s">
        <v>364</v>
      </c>
      <c r="H197" s="8" t="s">
        <v>245</v>
      </c>
      <c r="I197" s="8" t="s">
        <v>1036</v>
      </c>
      <c r="J197" s="8" t="s">
        <v>1037</v>
      </c>
      <c r="K197" s="8"/>
      <c r="L197" s="8">
        <v>3000</v>
      </c>
      <c r="M197" s="15">
        <v>993</v>
      </c>
    </row>
    <row r="198" spans="1:13" x14ac:dyDescent="0.3">
      <c r="A198" s="12" t="s">
        <v>1038</v>
      </c>
      <c r="B198" s="5" t="s">
        <v>105</v>
      </c>
      <c r="C198" s="5" t="s">
        <v>106</v>
      </c>
      <c r="D198" s="5" t="s">
        <v>638</v>
      </c>
      <c r="E198" s="5" t="s">
        <v>439</v>
      </c>
      <c r="F198" s="5" t="s">
        <v>161</v>
      </c>
      <c r="G198" s="5"/>
      <c r="H198" s="5" t="s">
        <v>294</v>
      </c>
      <c r="I198" s="5" t="s">
        <v>1039</v>
      </c>
      <c r="J198" s="5" t="s">
        <v>1040</v>
      </c>
      <c r="K198" s="5" t="s">
        <v>770</v>
      </c>
      <c r="L198" s="5">
        <v>10000</v>
      </c>
      <c r="M198" s="14">
        <v>8274</v>
      </c>
    </row>
    <row r="199" spans="1:13" x14ac:dyDescent="0.3">
      <c r="A199" s="13" t="s">
        <v>1041</v>
      </c>
      <c r="B199" s="8" t="s">
        <v>140</v>
      </c>
      <c r="C199" s="8" t="s">
        <v>141</v>
      </c>
      <c r="D199" s="8" t="s">
        <v>677</v>
      </c>
      <c r="E199" s="8" t="s">
        <v>292</v>
      </c>
      <c r="F199" s="8" t="s">
        <v>200</v>
      </c>
      <c r="G199" s="8" t="s">
        <v>257</v>
      </c>
      <c r="H199" s="8" t="s">
        <v>319</v>
      </c>
      <c r="I199" s="8" t="s">
        <v>1042</v>
      </c>
      <c r="J199" s="8" t="s">
        <v>1043</v>
      </c>
      <c r="K199" s="8"/>
      <c r="L199" s="8">
        <v>2000</v>
      </c>
      <c r="M199" s="15">
        <v>460</v>
      </c>
    </row>
    <row r="200" spans="1:13" x14ac:dyDescent="0.3">
      <c r="A200" s="12" t="s">
        <v>1044</v>
      </c>
      <c r="B200" s="5" t="s">
        <v>109</v>
      </c>
      <c r="C200" s="5" t="s">
        <v>110</v>
      </c>
      <c r="D200" s="5" t="s">
        <v>1045</v>
      </c>
      <c r="E200" s="5" t="s">
        <v>236</v>
      </c>
      <c r="F200" s="5" t="s">
        <v>176</v>
      </c>
      <c r="G200" s="5" t="s">
        <v>318</v>
      </c>
      <c r="H200" s="5" t="s">
        <v>319</v>
      </c>
      <c r="I200" s="5" t="s">
        <v>447</v>
      </c>
      <c r="J200" s="5" t="s">
        <v>615</v>
      </c>
      <c r="K200" s="5"/>
      <c r="L200" s="5">
        <v>6000</v>
      </c>
      <c r="M200" s="14">
        <v>3942</v>
      </c>
    </row>
    <row r="201" spans="1:13" x14ac:dyDescent="0.3">
      <c r="A201" s="13" t="s">
        <v>305</v>
      </c>
      <c r="B201" s="8" t="s">
        <v>101</v>
      </c>
      <c r="C201" s="8" t="s">
        <v>102</v>
      </c>
      <c r="D201" s="8" t="s">
        <v>306</v>
      </c>
      <c r="E201" s="8" t="s">
        <v>307</v>
      </c>
      <c r="F201" s="8" t="s">
        <v>161</v>
      </c>
      <c r="G201" s="8" t="s">
        <v>275</v>
      </c>
      <c r="H201" s="8" t="s">
        <v>294</v>
      </c>
      <c r="I201" s="8" t="s">
        <v>308</v>
      </c>
      <c r="J201" s="8" t="s">
        <v>309</v>
      </c>
      <c r="K201" s="8" t="s">
        <v>310</v>
      </c>
      <c r="L201" s="8">
        <v>3000</v>
      </c>
      <c r="M201" s="15">
        <v>2553</v>
      </c>
    </row>
    <row r="202" spans="1:13" x14ac:dyDescent="0.3">
      <c r="A202" s="12" t="s">
        <v>1046</v>
      </c>
      <c r="B202" s="5" t="s">
        <v>81</v>
      </c>
      <c r="C202" s="5" t="s">
        <v>82</v>
      </c>
      <c r="D202" s="5" t="s">
        <v>1047</v>
      </c>
      <c r="E202" s="5" t="s">
        <v>486</v>
      </c>
      <c r="F202" s="5" t="s">
        <v>155</v>
      </c>
      <c r="G202" s="5" t="s">
        <v>350</v>
      </c>
      <c r="H202" s="5" t="s">
        <v>245</v>
      </c>
      <c r="I202" s="5" t="s">
        <v>1048</v>
      </c>
      <c r="J202" s="5" t="s">
        <v>1049</v>
      </c>
      <c r="K202" s="5"/>
      <c r="L202" s="5">
        <v>4000</v>
      </c>
      <c r="M202" s="14">
        <v>1469</v>
      </c>
    </row>
    <row r="203" spans="1:13" x14ac:dyDescent="0.3">
      <c r="A203" s="13" t="s">
        <v>1050</v>
      </c>
      <c r="B203" s="8" t="s">
        <v>113</v>
      </c>
      <c r="C203" s="8" t="s">
        <v>114</v>
      </c>
      <c r="D203" s="8" t="s">
        <v>974</v>
      </c>
      <c r="E203" s="8" t="s">
        <v>481</v>
      </c>
      <c r="F203" s="8" t="s">
        <v>214</v>
      </c>
      <c r="G203" s="8" t="s">
        <v>301</v>
      </c>
      <c r="H203" s="8" t="s">
        <v>294</v>
      </c>
      <c r="I203" s="8" t="s">
        <v>246</v>
      </c>
      <c r="J203" s="8" t="s">
        <v>1051</v>
      </c>
      <c r="K203" s="8" t="s">
        <v>1043</v>
      </c>
      <c r="L203" s="8">
        <v>3000</v>
      </c>
      <c r="M203" s="15">
        <v>2194</v>
      </c>
    </row>
    <row r="204" spans="1:13" x14ac:dyDescent="0.3">
      <c r="A204" s="12" t="s">
        <v>1052</v>
      </c>
      <c r="B204" s="5" t="s">
        <v>86</v>
      </c>
      <c r="C204" s="5" t="s">
        <v>87</v>
      </c>
      <c r="D204" s="5" t="s">
        <v>1053</v>
      </c>
      <c r="E204" s="5" t="s">
        <v>405</v>
      </c>
      <c r="F204" s="5" t="s">
        <v>169</v>
      </c>
      <c r="G204" s="5" t="s">
        <v>350</v>
      </c>
      <c r="H204" s="5" t="s">
        <v>351</v>
      </c>
      <c r="I204" s="5" t="s">
        <v>756</v>
      </c>
      <c r="J204" s="5" t="s">
        <v>1054</v>
      </c>
      <c r="K204" s="5"/>
      <c r="L204" s="5">
        <v>1000</v>
      </c>
      <c r="M204" s="14">
        <v>0</v>
      </c>
    </row>
    <row r="205" spans="1:13" x14ac:dyDescent="0.3">
      <c r="A205" s="13" t="s">
        <v>1055</v>
      </c>
      <c r="B205" s="8" t="s">
        <v>136</v>
      </c>
      <c r="C205" s="8" t="s">
        <v>137</v>
      </c>
      <c r="D205" s="8" t="s">
        <v>782</v>
      </c>
      <c r="E205" s="8" t="s">
        <v>538</v>
      </c>
      <c r="F205" s="8" t="s">
        <v>212</v>
      </c>
      <c r="G205" s="8" t="s">
        <v>364</v>
      </c>
      <c r="H205" s="8" t="s">
        <v>251</v>
      </c>
      <c r="I205" s="8" t="s">
        <v>357</v>
      </c>
      <c r="J205" s="8" t="s">
        <v>1056</v>
      </c>
      <c r="K205" s="8"/>
      <c r="L205" s="8">
        <v>2000</v>
      </c>
      <c r="M205" s="15">
        <v>1426</v>
      </c>
    </row>
    <row r="206" spans="1:13" x14ac:dyDescent="0.3">
      <c r="A206" s="12" t="s">
        <v>1057</v>
      </c>
      <c r="B206" s="5" t="s">
        <v>126</v>
      </c>
      <c r="C206" s="5" t="s">
        <v>127</v>
      </c>
      <c r="D206" s="5" t="s">
        <v>1058</v>
      </c>
      <c r="E206" s="5" t="s">
        <v>197</v>
      </c>
      <c r="F206" s="5" t="s">
        <v>193</v>
      </c>
      <c r="G206" s="5" t="s">
        <v>264</v>
      </c>
      <c r="H206" s="5" t="s">
        <v>487</v>
      </c>
      <c r="I206" s="5" t="s">
        <v>1059</v>
      </c>
      <c r="J206" s="5" t="s">
        <v>687</v>
      </c>
      <c r="K206" s="5" t="s">
        <v>1060</v>
      </c>
      <c r="L206" s="5">
        <v>3000</v>
      </c>
      <c r="M206" s="14">
        <v>2904</v>
      </c>
    </row>
    <row r="207" spans="1:13" x14ac:dyDescent="0.3">
      <c r="A207" s="13" t="s">
        <v>1061</v>
      </c>
      <c r="B207" s="8" t="s">
        <v>118</v>
      </c>
      <c r="C207" s="8" t="s">
        <v>119</v>
      </c>
      <c r="D207" s="8" t="s">
        <v>961</v>
      </c>
      <c r="E207" s="8" t="s">
        <v>177</v>
      </c>
      <c r="F207" s="8" t="s">
        <v>161</v>
      </c>
      <c r="G207" s="8" t="s">
        <v>264</v>
      </c>
      <c r="H207" s="8" t="s">
        <v>287</v>
      </c>
      <c r="I207" s="8" t="s">
        <v>1062</v>
      </c>
      <c r="J207" s="8" t="s">
        <v>1063</v>
      </c>
      <c r="K207" s="8"/>
      <c r="L207" s="8">
        <v>5000</v>
      </c>
      <c r="M207" s="15">
        <v>2255</v>
      </c>
    </row>
    <row r="208" spans="1:13" x14ac:dyDescent="0.3">
      <c r="A208" s="12" t="s">
        <v>1064</v>
      </c>
      <c r="B208" s="5" t="s">
        <v>91</v>
      </c>
      <c r="C208" s="5" t="s">
        <v>92</v>
      </c>
      <c r="D208" s="5" t="s">
        <v>1065</v>
      </c>
      <c r="E208" s="5" t="s">
        <v>329</v>
      </c>
      <c r="F208" s="5" t="s">
        <v>214</v>
      </c>
      <c r="G208" s="5" t="s">
        <v>350</v>
      </c>
      <c r="H208" s="5" t="s">
        <v>324</v>
      </c>
      <c r="I208" s="5" t="s">
        <v>1066</v>
      </c>
      <c r="J208" s="5" t="s">
        <v>1067</v>
      </c>
      <c r="K208" s="5" t="s">
        <v>1068</v>
      </c>
      <c r="L208" s="5">
        <v>1500</v>
      </c>
      <c r="M208" s="14">
        <v>1516</v>
      </c>
    </row>
    <row r="209" spans="1:13" x14ac:dyDescent="0.3">
      <c r="A209" s="13" t="s">
        <v>1069</v>
      </c>
      <c r="B209" s="8" t="s">
        <v>81</v>
      </c>
      <c r="C209" s="8" t="s">
        <v>82</v>
      </c>
      <c r="D209" s="8" t="s">
        <v>1070</v>
      </c>
      <c r="E209" s="8" t="s">
        <v>292</v>
      </c>
      <c r="F209" s="8" t="s">
        <v>216</v>
      </c>
      <c r="G209" s="8" t="s">
        <v>293</v>
      </c>
      <c r="H209" s="8" t="s">
        <v>287</v>
      </c>
      <c r="I209" s="8" t="s">
        <v>1071</v>
      </c>
      <c r="J209" s="8" t="s">
        <v>1072</v>
      </c>
      <c r="K209" s="8"/>
      <c r="L209" s="8">
        <v>5000</v>
      </c>
      <c r="M209" s="15">
        <v>2401</v>
      </c>
    </row>
    <row r="210" spans="1:13" x14ac:dyDescent="0.3">
      <c r="A210" s="12" t="s">
        <v>1073</v>
      </c>
      <c r="B210" s="5" t="s">
        <v>81</v>
      </c>
      <c r="C210" s="5" t="s">
        <v>82</v>
      </c>
      <c r="D210" s="5" t="s">
        <v>1074</v>
      </c>
      <c r="E210" s="5" t="s">
        <v>538</v>
      </c>
      <c r="F210" s="5" t="s">
        <v>163</v>
      </c>
      <c r="G210" s="5" t="s">
        <v>509</v>
      </c>
      <c r="H210" s="5" t="s">
        <v>251</v>
      </c>
      <c r="I210" s="5" t="s">
        <v>688</v>
      </c>
      <c r="J210" s="5" t="s">
        <v>1075</v>
      </c>
      <c r="K210" s="5"/>
      <c r="L210" s="5">
        <v>5000</v>
      </c>
      <c r="M210" s="14">
        <v>3032</v>
      </c>
    </row>
    <row r="211" spans="1:13" x14ac:dyDescent="0.3">
      <c r="A211" s="13" t="s">
        <v>1076</v>
      </c>
      <c r="B211" s="8" t="s">
        <v>136</v>
      </c>
      <c r="C211" s="8" t="s">
        <v>137</v>
      </c>
      <c r="D211" s="8" t="s">
        <v>954</v>
      </c>
      <c r="E211" s="8" t="s">
        <v>481</v>
      </c>
      <c r="F211" s="8" t="s">
        <v>209</v>
      </c>
      <c r="G211" s="8" t="s">
        <v>509</v>
      </c>
      <c r="H211" s="8" t="s">
        <v>287</v>
      </c>
      <c r="I211" s="8" t="s">
        <v>838</v>
      </c>
      <c r="J211" s="8" t="s">
        <v>296</v>
      </c>
      <c r="K211" s="8"/>
      <c r="L211" s="8">
        <v>1000</v>
      </c>
      <c r="M211" s="15">
        <v>416</v>
      </c>
    </row>
    <row r="212" spans="1:13" x14ac:dyDescent="0.3">
      <c r="A212" s="12" t="s">
        <v>1077</v>
      </c>
      <c r="B212" s="5" t="s">
        <v>113</v>
      </c>
      <c r="C212" s="5" t="s">
        <v>114</v>
      </c>
      <c r="D212" s="5" t="s">
        <v>1078</v>
      </c>
      <c r="E212" s="5" t="s">
        <v>405</v>
      </c>
      <c r="F212" s="5" t="s">
        <v>193</v>
      </c>
      <c r="G212" s="5" t="s">
        <v>509</v>
      </c>
      <c r="H212" s="5" t="s">
        <v>440</v>
      </c>
      <c r="I212" s="5" t="s">
        <v>1079</v>
      </c>
      <c r="J212" s="5" t="s">
        <v>1080</v>
      </c>
      <c r="K212" s="5" t="s">
        <v>855</v>
      </c>
      <c r="L212" s="5">
        <v>3000</v>
      </c>
      <c r="M212" s="14">
        <v>2732</v>
      </c>
    </row>
    <row r="213" spans="1:13" x14ac:dyDescent="0.3">
      <c r="A213" s="13" t="s">
        <v>1081</v>
      </c>
      <c r="B213" s="8" t="s">
        <v>91</v>
      </c>
      <c r="C213" s="8" t="s">
        <v>92</v>
      </c>
      <c r="D213" s="8" t="s">
        <v>1082</v>
      </c>
      <c r="E213" s="8" t="s">
        <v>424</v>
      </c>
      <c r="F213" s="8" t="s">
        <v>193</v>
      </c>
      <c r="G213" s="8" t="s">
        <v>364</v>
      </c>
      <c r="H213" s="8" t="s">
        <v>294</v>
      </c>
      <c r="I213" s="8" t="s">
        <v>100</v>
      </c>
      <c r="J213" s="8" t="s">
        <v>1083</v>
      </c>
      <c r="K213" s="8" t="s">
        <v>1084</v>
      </c>
      <c r="L213" s="8">
        <v>2500</v>
      </c>
      <c r="M213" s="15">
        <v>3499</v>
      </c>
    </row>
    <row r="214" spans="1:13" x14ac:dyDescent="0.3">
      <c r="A214" s="12" t="s">
        <v>1085</v>
      </c>
      <c r="B214" s="5" t="s">
        <v>101</v>
      </c>
      <c r="C214" s="5" t="s">
        <v>102</v>
      </c>
      <c r="D214" s="5" t="s">
        <v>1086</v>
      </c>
      <c r="E214" s="5" t="s">
        <v>150</v>
      </c>
      <c r="F214" s="5" t="s">
        <v>149</v>
      </c>
      <c r="G214" s="5" t="s">
        <v>281</v>
      </c>
      <c r="H214" s="5" t="s">
        <v>319</v>
      </c>
      <c r="I214" s="5" t="s">
        <v>1087</v>
      </c>
      <c r="J214" s="5" t="s">
        <v>1088</v>
      </c>
      <c r="K214" s="5"/>
      <c r="L214" s="5">
        <v>6000</v>
      </c>
      <c r="M214" s="14">
        <v>3348</v>
      </c>
    </row>
    <row r="215" spans="1:13" x14ac:dyDescent="0.3">
      <c r="A215" s="13" t="s">
        <v>1089</v>
      </c>
      <c r="B215" s="8" t="s">
        <v>81</v>
      </c>
      <c r="C215" s="8" t="s">
        <v>82</v>
      </c>
      <c r="D215" s="8" t="s">
        <v>1090</v>
      </c>
      <c r="E215" s="8" t="s">
        <v>256</v>
      </c>
      <c r="F215" s="8" t="s">
        <v>214</v>
      </c>
      <c r="G215" s="8" t="s">
        <v>293</v>
      </c>
      <c r="H215" s="8" t="s">
        <v>356</v>
      </c>
      <c r="I215" s="8" t="s">
        <v>1091</v>
      </c>
      <c r="J215" s="8" t="s">
        <v>793</v>
      </c>
      <c r="K215" s="8" t="s">
        <v>1092</v>
      </c>
      <c r="L215" s="8">
        <v>1500</v>
      </c>
      <c r="M215" s="15">
        <v>2042</v>
      </c>
    </row>
    <row r="216" spans="1:13" x14ac:dyDescent="0.3">
      <c r="A216" s="12" t="s">
        <v>1093</v>
      </c>
      <c r="B216" s="5" t="s">
        <v>91</v>
      </c>
      <c r="C216" s="5" t="s">
        <v>92</v>
      </c>
      <c r="D216" s="5" t="s">
        <v>1094</v>
      </c>
      <c r="E216" s="5" t="s">
        <v>706</v>
      </c>
      <c r="F216" s="5" t="s">
        <v>222</v>
      </c>
      <c r="G216" s="5" t="s">
        <v>257</v>
      </c>
      <c r="H216" s="5" t="s">
        <v>365</v>
      </c>
      <c r="I216" s="5" t="s">
        <v>1095</v>
      </c>
      <c r="J216" s="5" t="s">
        <v>1096</v>
      </c>
      <c r="K216" s="5" t="s">
        <v>1097</v>
      </c>
      <c r="L216" s="5">
        <v>2000</v>
      </c>
      <c r="M216" s="14">
        <v>2156</v>
      </c>
    </row>
    <row r="217" spans="1:13" x14ac:dyDescent="0.3">
      <c r="A217" s="13" t="s">
        <v>1098</v>
      </c>
      <c r="B217" s="8" t="s">
        <v>133</v>
      </c>
      <c r="C217" s="8" t="s">
        <v>134</v>
      </c>
      <c r="D217" s="8" t="s">
        <v>666</v>
      </c>
      <c r="E217" s="8" t="s">
        <v>150</v>
      </c>
      <c r="F217" s="8" t="s">
        <v>209</v>
      </c>
      <c r="G217" s="8" t="s">
        <v>250</v>
      </c>
      <c r="H217" s="8" t="s">
        <v>294</v>
      </c>
      <c r="I217" s="8" t="s">
        <v>555</v>
      </c>
      <c r="J217" s="8" t="s">
        <v>1099</v>
      </c>
      <c r="K217" s="8" t="s">
        <v>1100</v>
      </c>
      <c r="L217" s="8">
        <v>4000</v>
      </c>
      <c r="M217" s="15">
        <v>3393</v>
      </c>
    </row>
    <row r="218" spans="1:13" x14ac:dyDescent="0.3">
      <c r="A218" s="12" t="s">
        <v>1101</v>
      </c>
      <c r="B218" s="5" t="s">
        <v>118</v>
      </c>
      <c r="C218" s="5" t="s">
        <v>119</v>
      </c>
      <c r="D218" s="5" t="s">
        <v>1102</v>
      </c>
      <c r="E218" s="5" t="s">
        <v>150</v>
      </c>
      <c r="F218" s="5" t="s">
        <v>214</v>
      </c>
      <c r="G218" s="5" t="s">
        <v>244</v>
      </c>
      <c r="H218" s="5" t="s">
        <v>287</v>
      </c>
      <c r="I218" s="5" t="s">
        <v>1103</v>
      </c>
      <c r="J218" s="5" t="s">
        <v>442</v>
      </c>
      <c r="K218" s="5"/>
      <c r="L218" s="5">
        <v>6000</v>
      </c>
      <c r="M218" s="14">
        <v>1233</v>
      </c>
    </row>
    <row r="219" spans="1:13" x14ac:dyDescent="0.3">
      <c r="A219" s="13" t="s">
        <v>1104</v>
      </c>
      <c r="B219" s="8" t="s">
        <v>113</v>
      </c>
      <c r="C219" s="8" t="s">
        <v>114</v>
      </c>
      <c r="D219" s="8" t="s">
        <v>400</v>
      </c>
      <c r="E219" s="8" t="s">
        <v>313</v>
      </c>
      <c r="F219" s="8" t="s">
        <v>161</v>
      </c>
      <c r="G219" s="8" t="s">
        <v>318</v>
      </c>
      <c r="H219" s="8" t="s">
        <v>314</v>
      </c>
      <c r="I219" s="8" t="s">
        <v>858</v>
      </c>
      <c r="J219" s="8" t="s">
        <v>1105</v>
      </c>
      <c r="K219" s="8" t="s">
        <v>1106</v>
      </c>
      <c r="L219" s="8"/>
      <c r="M219" s="15">
        <v>2192</v>
      </c>
    </row>
    <row r="220" spans="1:13" x14ac:dyDescent="0.3">
      <c r="A220" s="12" t="s">
        <v>1107</v>
      </c>
      <c r="B220" s="5" t="s">
        <v>133</v>
      </c>
      <c r="C220" s="5" t="s">
        <v>134</v>
      </c>
      <c r="D220" s="5" t="s">
        <v>1108</v>
      </c>
      <c r="E220" s="5" t="s">
        <v>307</v>
      </c>
      <c r="F220" s="5" t="s">
        <v>214</v>
      </c>
      <c r="G220" s="5" t="s">
        <v>364</v>
      </c>
      <c r="H220" s="5" t="s">
        <v>430</v>
      </c>
      <c r="I220" s="5" t="s">
        <v>478</v>
      </c>
      <c r="J220" s="5" t="s">
        <v>846</v>
      </c>
      <c r="K220" s="5"/>
      <c r="L220" s="5">
        <v>4000</v>
      </c>
      <c r="M220" s="14">
        <v>0</v>
      </c>
    </row>
    <row r="221" spans="1:13" x14ac:dyDescent="0.3">
      <c r="A221" s="13" t="s">
        <v>1109</v>
      </c>
      <c r="B221" s="8" t="s">
        <v>109</v>
      </c>
      <c r="C221" s="8" t="s">
        <v>110</v>
      </c>
      <c r="D221" s="8" t="s">
        <v>1110</v>
      </c>
      <c r="E221" s="8" t="s">
        <v>335</v>
      </c>
      <c r="F221" s="8" t="s">
        <v>163</v>
      </c>
      <c r="G221" s="8" t="s">
        <v>301</v>
      </c>
      <c r="H221" s="8" t="s">
        <v>287</v>
      </c>
      <c r="I221" s="8" t="s">
        <v>1111</v>
      </c>
      <c r="J221" s="8" t="s">
        <v>1112</v>
      </c>
      <c r="K221" s="8"/>
      <c r="L221" s="8">
        <v>5000</v>
      </c>
      <c r="M221" s="15">
        <v>3364</v>
      </c>
    </row>
    <row r="222" spans="1:13" x14ac:dyDescent="0.3">
      <c r="A222" s="12" t="s">
        <v>1113</v>
      </c>
      <c r="B222" s="5" t="s">
        <v>129</v>
      </c>
      <c r="C222" s="5" t="s">
        <v>130</v>
      </c>
      <c r="D222" s="5" t="s">
        <v>306</v>
      </c>
      <c r="E222" s="5" t="s">
        <v>206</v>
      </c>
      <c r="F222" s="5" t="s">
        <v>205</v>
      </c>
      <c r="G222" s="5" t="s">
        <v>318</v>
      </c>
      <c r="H222" s="5" t="s">
        <v>287</v>
      </c>
      <c r="I222" s="5" t="s">
        <v>1114</v>
      </c>
      <c r="J222" s="5" t="s">
        <v>737</v>
      </c>
      <c r="K222" s="5"/>
      <c r="L222" s="5">
        <v>8000</v>
      </c>
      <c r="M222" s="14">
        <v>2896</v>
      </c>
    </row>
    <row r="223" spans="1:13" x14ac:dyDescent="0.3">
      <c r="A223" s="13" t="s">
        <v>1115</v>
      </c>
      <c r="B223" s="8" t="s">
        <v>101</v>
      </c>
      <c r="C223" s="8" t="s">
        <v>102</v>
      </c>
      <c r="D223" s="8" t="s">
        <v>1116</v>
      </c>
      <c r="E223" s="8" t="s">
        <v>395</v>
      </c>
      <c r="F223" s="8" t="s">
        <v>214</v>
      </c>
      <c r="G223" s="8" t="s">
        <v>350</v>
      </c>
      <c r="H223" s="8" t="s">
        <v>324</v>
      </c>
      <c r="I223" s="8" t="s">
        <v>858</v>
      </c>
      <c r="J223" s="8" t="s">
        <v>1117</v>
      </c>
      <c r="K223" s="8" t="s">
        <v>1105</v>
      </c>
      <c r="L223" s="8">
        <v>3000</v>
      </c>
      <c r="M223" s="15">
        <v>3036</v>
      </c>
    </row>
    <row r="224" spans="1:13" x14ac:dyDescent="0.3">
      <c r="A224" s="12" t="s">
        <v>1118</v>
      </c>
      <c r="B224" s="5" t="s">
        <v>126</v>
      </c>
      <c r="C224" s="5" t="s">
        <v>127</v>
      </c>
      <c r="D224" s="5" t="s">
        <v>1119</v>
      </c>
      <c r="E224" s="5" t="s">
        <v>187</v>
      </c>
      <c r="F224" s="5" t="s">
        <v>180</v>
      </c>
      <c r="G224" s="5" t="s">
        <v>318</v>
      </c>
      <c r="H224" s="5" t="s">
        <v>302</v>
      </c>
      <c r="I224" s="5" t="s">
        <v>1120</v>
      </c>
      <c r="J224" s="5" t="s">
        <v>1121</v>
      </c>
      <c r="K224" s="5"/>
      <c r="L224" s="5">
        <v>8000</v>
      </c>
      <c r="M224" s="14">
        <v>3460</v>
      </c>
    </row>
    <row r="225" spans="1:13" x14ac:dyDescent="0.3">
      <c r="A225" s="13" t="s">
        <v>699</v>
      </c>
      <c r="B225" s="8" t="s">
        <v>96</v>
      </c>
      <c r="C225" s="8" t="s">
        <v>97</v>
      </c>
      <c r="D225" s="8" t="s">
        <v>496</v>
      </c>
      <c r="E225" s="8" t="s">
        <v>292</v>
      </c>
      <c r="F225" s="8" t="s">
        <v>700</v>
      </c>
      <c r="G225" s="8" t="s">
        <v>237</v>
      </c>
      <c r="H225" s="8" t="s">
        <v>365</v>
      </c>
      <c r="I225" s="8" t="s">
        <v>701</v>
      </c>
      <c r="J225" s="8" t="s">
        <v>702</v>
      </c>
      <c r="K225" s="8" t="s">
        <v>703</v>
      </c>
      <c r="L225" s="8">
        <v>10000</v>
      </c>
      <c r="M225" s="15">
        <v>7595</v>
      </c>
    </row>
    <row r="226" spans="1:13" x14ac:dyDescent="0.3">
      <c r="A226" s="12" t="s">
        <v>1122</v>
      </c>
      <c r="B226" s="5" t="s">
        <v>113</v>
      </c>
      <c r="C226" s="5" t="s">
        <v>114</v>
      </c>
      <c r="D226" s="5" t="s">
        <v>1123</v>
      </c>
      <c r="E226" s="5" t="s">
        <v>187</v>
      </c>
      <c r="F226" s="5" t="s">
        <v>222</v>
      </c>
      <c r="G226" s="5" t="s">
        <v>364</v>
      </c>
      <c r="H226" s="5" t="s">
        <v>351</v>
      </c>
      <c r="I226" s="5" t="s">
        <v>1124</v>
      </c>
      <c r="J226" s="5" t="s">
        <v>728</v>
      </c>
      <c r="K226" s="5"/>
      <c r="L226" s="5">
        <v>5000</v>
      </c>
      <c r="M226" s="14">
        <v>0</v>
      </c>
    </row>
    <row r="227" spans="1:13" x14ac:dyDescent="0.3">
      <c r="A227" s="13" t="s">
        <v>1125</v>
      </c>
      <c r="B227" s="8" t="s">
        <v>129</v>
      </c>
      <c r="C227" s="8" t="s">
        <v>130</v>
      </c>
      <c r="D227" s="8" t="s">
        <v>1126</v>
      </c>
      <c r="E227" s="8" t="s">
        <v>187</v>
      </c>
      <c r="F227" s="8" t="s">
        <v>745</v>
      </c>
      <c r="G227" s="8" t="s">
        <v>250</v>
      </c>
      <c r="H227" s="8" t="s">
        <v>356</v>
      </c>
      <c r="I227" s="8" t="s">
        <v>1127</v>
      </c>
      <c r="J227" s="8" t="s">
        <v>1128</v>
      </c>
      <c r="K227" s="8" t="s">
        <v>1129</v>
      </c>
      <c r="L227" s="8">
        <v>1500</v>
      </c>
      <c r="M227" s="15">
        <v>1961</v>
      </c>
    </row>
    <row r="228" spans="1:13" x14ac:dyDescent="0.3">
      <c r="A228" s="12" t="s">
        <v>1130</v>
      </c>
      <c r="B228" s="5" t="s">
        <v>86</v>
      </c>
      <c r="C228" s="5" t="s">
        <v>87</v>
      </c>
      <c r="D228" s="5" t="s">
        <v>1131</v>
      </c>
      <c r="E228" s="5" t="s">
        <v>219</v>
      </c>
      <c r="F228" s="5" t="s">
        <v>224</v>
      </c>
      <c r="G228" s="5" t="s">
        <v>318</v>
      </c>
      <c r="H228" s="5" t="s">
        <v>487</v>
      </c>
      <c r="I228" s="5" t="s">
        <v>1132</v>
      </c>
      <c r="J228" s="5" t="s">
        <v>551</v>
      </c>
      <c r="K228" s="5" t="s">
        <v>507</v>
      </c>
      <c r="L228" s="5">
        <v>5000</v>
      </c>
      <c r="M228" s="14">
        <v>6487</v>
      </c>
    </row>
    <row r="229" spans="1:13" x14ac:dyDescent="0.3">
      <c r="A229" s="13" t="s">
        <v>1133</v>
      </c>
      <c r="B229" s="8" t="s">
        <v>91</v>
      </c>
      <c r="C229" s="8" t="s">
        <v>92</v>
      </c>
      <c r="D229" s="8" t="s">
        <v>821</v>
      </c>
      <c r="E229" s="8" t="s">
        <v>249</v>
      </c>
      <c r="F229" s="8" t="s">
        <v>212</v>
      </c>
      <c r="G229" s="8" t="s">
        <v>281</v>
      </c>
      <c r="H229" s="8" t="s">
        <v>487</v>
      </c>
      <c r="I229" s="8" t="s">
        <v>929</v>
      </c>
      <c r="J229" s="8" t="s">
        <v>1134</v>
      </c>
      <c r="K229" s="8" t="s">
        <v>549</v>
      </c>
      <c r="L229" s="8">
        <v>10000</v>
      </c>
      <c r="M229" s="15">
        <v>11059</v>
      </c>
    </row>
    <row r="230" spans="1:13" x14ac:dyDescent="0.3">
      <c r="A230" s="12" t="s">
        <v>500</v>
      </c>
      <c r="B230" s="5" t="s">
        <v>86</v>
      </c>
      <c r="C230" s="5" t="s">
        <v>87</v>
      </c>
      <c r="D230" s="5" t="s">
        <v>280</v>
      </c>
      <c r="E230" s="5" t="s">
        <v>206</v>
      </c>
      <c r="F230" s="5" t="s">
        <v>224</v>
      </c>
      <c r="G230" s="5" t="s">
        <v>275</v>
      </c>
      <c r="H230" s="5" t="s">
        <v>302</v>
      </c>
      <c r="I230" s="5" t="s">
        <v>501</v>
      </c>
      <c r="J230" s="5" t="s">
        <v>502</v>
      </c>
      <c r="K230" s="5"/>
      <c r="L230" s="5">
        <v>3000</v>
      </c>
      <c r="M230" s="14">
        <v>2365</v>
      </c>
    </row>
    <row r="231" spans="1:13" x14ac:dyDescent="0.3">
      <c r="A231" s="13" t="s">
        <v>1135</v>
      </c>
      <c r="B231" s="8" t="s">
        <v>86</v>
      </c>
      <c r="C231" s="8" t="s">
        <v>87</v>
      </c>
      <c r="D231" s="8" t="s">
        <v>1136</v>
      </c>
      <c r="E231" s="8" t="s">
        <v>307</v>
      </c>
      <c r="F231" s="8" t="s">
        <v>218</v>
      </c>
      <c r="G231" s="8" t="s">
        <v>257</v>
      </c>
      <c r="H231" s="8" t="s">
        <v>282</v>
      </c>
      <c r="I231" s="8" t="s">
        <v>563</v>
      </c>
      <c r="J231" s="8" t="s">
        <v>1137</v>
      </c>
      <c r="K231" s="8"/>
      <c r="L231" s="8">
        <v>4000</v>
      </c>
      <c r="M231" s="15">
        <v>0</v>
      </c>
    </row>
    <row r="232" spans="1:13" x14ac:dyDescent="0.3">
      <c r="A232" s="12" t="s">
        <v>1138</v>
      </c>
      <c r="B232" s="5" t="s">
        <v>91</v>
      </c>
      <c r="C232" s="5" t="s">
        <v>92</v>
      </c>
      <c r="D232" s="5" t="s">
        <v>644</v>
      </c>
      <c r="E232" s="5" t="s">
        <v>206</v>
      </c>
      <c r="F232" s="5" t="s">
        <v>190</v>
      </c>
      <c r="G232" s="5" t="s">
        <v>264</v>
      </c>
      <c r="H232" s="5" t="s">
        <v>314</v>
      </c>
      <c r="I232" s="5" t="s">
        <v>839</v>
      </c>
      <c r="J232" s="5" t="s">
        <v>357</v>
      </c>
      <c r="K232" s="5" t="s">
        <v>357</v>
      </c>
      <c r="L232" s="5">
        <v>1500</v>
      </c>
      <c r="M232" s="14">
        <v>1602</v>
      </c>
    </row>
    <row r="233" spans="1:13" x14ac:dyDescent="0.3">
      <c r="A233" s="13" t="s">
        <v>1139</v>
      </c>
      <c r="B233" s="8" t="s">
        <v>81</v>
      </c>
      <c r="C233" s="8" t="s">
        <v>82</v>
      </c>
      <c r="D233" s="8" t="s">
        <v>1009</v>
      </c>
      <c r="E233" s="8" t="s">
        <v>197</v>
      </c>
      <c r="F233" s="8" t="s">
        <v>183</v>
      </c>
      <c r="G233" s="8" t="s">
        <v>364</v>
      </c>
      <c r="H233" s="8" t="s">
        <v>294</v>
      </c>
      <c r="I233" s="8" t="s">
        <v>1140</v>
      </c>
      <c r="J233" s="8" t="s">
        <v>1141</v>
      </c>
      <c r="K233" s="8" t="s">
        <v>1142</v>
      </c>
      <c r="L233" s="8">
        <v>4000</v>
      </c>
      <c r="M233" s="15">
        <v>3468</v>
      </c>
    </row>
    <row r="234" spans="1:13" x14ac:dyDescent="0.3">
      <c r="A234" s="12" t="s">
        <v>1143</v>
      </c>
      <c r="B234" s="5" t="s">
        <v>126</v>
      </c>
      <c r="C234" s="5" t="s">
        <v>127</v>
      </c>
      <c r="D234" s="5" t="s">
        <v>1094</v>
      </c>
      <c r="E234" s="5" t="s">
        <v>219</v>
      </c>
      <c r="F234" s="5" t="s">
        <v>196</v>
      </c>
      <c r="G234" s="5" t="s">
        <v>264</v>
      </c>
      <c r="H234" s="5" t="s">
        <v>302</v>
      </c>
      <c r="I234" s="5" t="s">
        <v>955</v>
      </c>
      <c r="J234" s="5" t="s">
        <v>1144</v>
      </c>
      <c r="K234" s="5"/>
      <c r="L234" s="5">
        <v>4000</v>
      </c>
      <c r="M234" s="14">
        <v>2776</v>
      </c>
    </row>
    <row r="235" spans="1:13" x14ac:dyDescent="0.3">
      <c r="A235" s="13" t="s">
        <v>1145</v>
      </c>
      <c r="B235" s="8" t="s">
        <v>140</v>
      </c>
      <c r="C235" s="8" t="s">
        <v>141</v>
      </c>
      <c r="D235" s="8" t="s">
        <v>1078</v>
      </c>
      <c r="E235" s="8" t="s">
        <v>481</v>
      </c>
      <c r="F235" s="8" t="s">
        <v>186</v>
      </c>
      <c r="G235" s="8" t="s">
        <v>364</v>
      </c>
      <c r="H235" s="8" t="s">
        <v>356</v>
      </c>
      <c r="I235" s="8" t="s">
        <v>447</v>
      </c>
      <c r="J235" s="8" t="s">
        <v>813</v>
      </c>
      <c r="K235" s="8" t="s">
        <v>1146</v>
      </c>
      <c r="L235" s="8">
        <v>8000</v>
      </c>
      <c r="M235" s="15">
        <v>10129</v>
      </c>
    </row>
    <row r="236" spans="1:13" x14ac:dyDescent="0.3">
      <c r="A236" s="12" t="s">
        <v>1147</v>
      </c>
      <c r="B236" s="5" t="s">
        <v>86</v>
      </c>
      <c r="C236" s="5" t="s">
        <v>87</v>
      </c>
      <c r="D236" s="5" t="s">
        <v>1148</v>
      </c>
      <c r="E236" s="5" t="s">
        <v>300</v>
      </c>
      <c r="F236" s="5" t="s">
        <v>205</v>
      </c>
      <c r="G236" s="5" t="s">
        <v>257</v>
      </c>
      <c r="H236" s="5" t="s">
        <v>440</v>
      </c>
      <c r="I236" s="5" t="s">
        <v>1149</v>
      </c>
      <c r="J236" s="5" t="s">
        <v>391</v>
      </c>
      <c r="K236" s="5" t="s">
        <v>1150</v>
      </c>
      <c r="L236" s="5">
        <v>4000</v>
      </c>
      <c r="M236" s="14">
        <v>3583</v>
      </c>
    </row>
    <row r="237" spans="1:13" x14ac:dyDescent="0.3">
      <c r="A237" s="13" t="s">
        <v>1151</v>
      </c>
      <c r="B237" s="8" t="s">
        <v>126</v>
      </c>
      <c r="C237" s="8" t="s">
        <v>127</v>
      </c>
      <c r="D237" s="8" t="s">
        <v>1152</v>
      </c>
      <c r="E237" s="8" t="s">
        <v>292</v>
      </c>
      <c r="F237" s="8" t="s">
        <v>158</v>
      </c>
      <c r="G237" s="8" t="s">
        <v>301</v>
      </c>
      <c r="H237" s="8" t="s">
        <v>251</v>
      </c>
      <c r="I237" s="8" t="s">
        <v>1153</v>
      </c>
      <c r="J237" s="8" t="s">
        <v>1154</v>
      </c>
      <c r="K237" s="8"/>
      <c r="L237" s="8">
        <v>10000</v>
      </c>
      <c r="M237" s="15">
        <v>4882</v>
      </c>
    </row>
    <row r="238" spans="1:13" x14ac:dyDescent="0.3">
      <c r="A238" s="12" t="s">
        <v>1155</v>
      </c>
      <c r="B238" s="5" t="s">
        <v>81</v>
      </c>
      <c r="C238" s="5" t="s">
        <v>82</v>
      </c>
      <c r="D238" s="5" t="s">
        <v>1110</v>
      </c>
      <c r="E238" s="5" t="s">
        <v>256</v>
      </c>
      <c r="F238" s="5" t="s">
        <v>224</v>
      </c>
      <c r="G238" s="5" t="s">
        <v>293</v>
      </c>
      <c r="H238" s="5" t="s">
        <v>324</v>
      </c>
      <c r="I238" s="5" t="s">
        <v>1049</v>
      </c>
      <c r="J238" s="5" t="s">
        <v>1156</v>
      </c>
      <c r="K238" s="5" t="s">
        <v>1157</v>
      </c>
      <c r="L238" s="5">
        <v>1500</v>
      </c>
      <c r="M238" s="14">
        <v>1716</v>
      </c>
    </row>
    <row r="239" spans="1:13" x14ac:dyDescent="0.3">
      <c r="A239" s="13" t="s">
        <v>1158</v>
      </c>
      <c r="B239" s="8" t="s">
        <v>81</v>
      </c>
      <c r="C239" s="8" t="s">
        <v>82</v>
      </c>
      <c r="D239" s="8" t="s">
        <v>1159</v>
      </c>
      <c r="E239" s="8" t="s">
        <v>706</v>
      </c>
      <c r="F239" s="8" t="s">
        <v>176</v>
      </c>
      <c r="G239" s="8"/>
      <c r="H239" s="8" t="s">
        <v>302</v>
      </c>
      <c r="I239" s="8" t="s">
        <v>1160</v>
      </c>
      <c r="J239" s="8" t="s">
        <v>1161</v>
      </c>
      <c r="K239" s="8"/>
      <c r="L239" s="8">
        <v>1500</v>
      </c>
      <c r="M239" s="15">
        <v>1154</v>
      </c>
    </row>
    <row r="240" spans="1:13" x14ac:dyDescent="0.3">
      <c r="A240" s="12" t="s">
        <v>1162</v>
      </c>
      <c r="B240" s="5" t="s">
        <v>118</v>
      </c>
      <c r="C240" s="5" t="s">
        <v>119</v>
      </c>
      <c r="D240" s="5" t="s">
        <v>1090</v>
      </c>
      <c r="E240" s="5" t="s">
        <v>335</v>
      </c>
      <c r="F240" s="5" t="s">
        <v>190</v>
      </c>
      <c r="G240" s="5" t="s">
        <v>509</v>
      </c>
      <c r="H240" s="5" t="s">
        <v>440</v>
      </c>
      <c r="I240" s="5" t="s">
        <v>1163</v>
      </c>
      <c r="J240" s="5" t="s">
        <v>1164</v>
      </c>
      <c r="K240" s="5" t="s">
        <v>527</v>
      </c>
      <c r="L240" s="5">
        <v>2000</v>
      </c>
      <c r="M240" s="14">
        <v>1840</v>
      </c>
    </row>
    <row r="241" spans="1:13" x14ac:dyDescent="0.3">
      <c r="A241" s="13" t="s">
        <v>1165</v>
      </c>
      <c r="B241" s="8" t="s">
        <v>109</v>
      </c>
      <c r="C241" s="8" t="s">
        <v>110</v>
      </c>
      <c r="D241" s="8" t="s">
        <v>1058</v>
      </c>
      <c r="E241" s="8" t="s">
        <v>219</v>
      </c>
      <c r="F241" s="8" t="s">
        <v>153</v>
      </c>
      <c r="G241" s="8" t="s">
        <v>350</v>
      </c>
      <c r="H241" s="8" t="s">
        <v>356</v>
      </c>
      <c r="I241" s="8" t="s">
        <v>1166</v>
      </c>
      <c r="J241" s="8" t="s">
        <v>1167</v>
      </c>
      <c r="K241" s="8" t="s">
        <v>819</v>
      </c>
      <c r="L241" s="8">
        <v>1500</v>
      </c>
      <c r="M241" s="15">
        <v>1618</v>
      </c>
    </row>
    <row r="242" spans="1:13" x14ac:dyDescent="0.3">
      <c r="A242" s="12" t="s">
        <v>1168</v>
      </c>
      <c r="B242" s="5" t="s">
        <v>86</v>
      </c>
      <c r="C242" s="5" t="s">
        <v>87</v>
      </c>
      <c r="D242" s="5" t="s">
        <v>1169</v>
      </c>
      <c r="E242" s="5" t="s">
        <v>446</v>
      </c>
      <c r="F242" s="5" t="s">
        <v>190</v>
      </c>
      <c r="G242" s="5" t="s">
        <v>509</v>
      </c>
      <c r="H242" s="5" t="s">
        <v>245</v>
      </c>
      <c r="I242" s="5" t="s">
        <v>1170</v>
      </c>
      <c r="J242" s="5" t="s">
        <v>241</v>
      </c>
      <c r="K242" s="5"/>
      <c r="L242" s="5">
        <v>5000</v>
      </c>
      <c r="M242" s="14">
        <v>1993</v>
      </c>
    </row>
    <row r="243" spans="1:13" x14ac:dyDescent="0.3">
      <c r="A243" s="13" t="s">
        <v>1052</v>
      </c>
      <c r="B243" s="8" t="s">
        <v>86</v>
      </c>
      <c r="C243" s="8" t="s">
        <v>87</v>
      </c>
      <c r="D243" s="8" t="s">
        <v>1053</v>
      </c>
      <c r="E243" s="8" t="s">
        <v>405</v>
      </c>
      <c r="F243" s="8" t="s">
        <v>169</v>
      </c>
      <c r="G243" s="8" t="s">
        <v>350</v>
      </c>
      <c r="H243" s="8" t="s">
        <v>351</v>
      </c>
      <c r="I243" s="8" t="s">
        <v>756</v>
      </c>
      <c r="J243" s="8" t="s">
        <v>1054</v>
      </c>
      <c r="K243" s="8"/>
      <c r="L243" s="8">
        <v>1000</v>
      </c>
      <c r="M243" s="15">
        <v>0</v>
      </c>
    </row>
    <row r="244" spans="1:13" x14ac:dyDescent="0.3">
      <c r="A244" s="12" t="s">
        <v>1171</v>
      </c>
      <c r="B244" s="5" t="s">
        <v>129</v>
      </c>
      <c r="C244" s="5" t="s">
        <v>130</v>
      </c>
      <c r="D244" s="5" t="s">
        <v>1172</v>
      </c>
      <c r="E244" s="5" t="s">
        <v>395</v>
      </c>
      <c r="F244" s="5" t="s">
        <v>212</v>
      </c>
      <c r="G244" s="5" t="s">
        <v>250</v>
      </c>
      <c r="H244" s="5" t="s">
        <v>258</v>
      </c>
      <c r="I244" s="5" t="s">
        <v>1173</v>
      </c>
      <c r="J244" s="5" t="s">
        <v>1174</v>
      </c>
      <c r="K244" s="5" t="s">
        <v>549</v>
      </c>
      <c r="L244" s="5">
        <v>6000</v>
      </c>
      <c r="M244" s="14">
        <v>5652</v>
      </c>
    </row>
    <row r="245" spans="1:13" x14ac:dyDescent="0.3">
      <c r="A245" s="13" t="s">
        <v>1175</v>
      </c>
      <c r="B245" s="8" t="s">
        <v>133</v>
      </c>
      <c r="C245" s="8" t="s">
        <v>134</v>
      </c>
      <c r="D245" s="8" t="s">
        <v>1016</v>
      </c>
      <c r="E245" s="8" t="s">
        <v>313</v>
      </c>
      <c r="F245" s="8" t="s">
        <v>153</v>
      </c>
      <c r="G245" s="8" t="s">
        <v>318</v>
      </c>
      <c r="H245" s="8" t="s">
        <v>314</v>
      </c>
      <c r="I245" s="8" t="s">
        <v>1176</v>
      </c>
      <c r="J245" s="8" t="s">
        <v>1177</v>
      </c>
      <c r="K245" s="8" t="s">
        <v>1178</v>
      </c>
      <c r="L245" s="8">
        <v>4000</v>
      </c>
      <c r="M245" s="15">
        <v>5504</v>
      </c>
    </row>
    <row r="246" spans="1:13" x14ac:dyDescent="0.3">
      <c r="A246" s="12" t="s">
        <v>1179</v>
      </c>
      <c r="B246" s="5" t="s">
        <v>101</v>
      </c>
      <c r="C246" s="5" t="s">
        <v>102</v>
      </c>
      <c r="D246" s="5" t="s">
        <v>1180</v>
      </c>
      <c r="E246" s="5" t="s">
        <v>236</v>
      </c>
      <c r="F246" s="5" t="s">
        <v>196</v>
      </c>
      <c r="G246" s="5" t="s">
        <v>364</v>
      </c>
      <c r="H246" s="5" t="s">
        <v>356</v>
      </c>
      <c r="I246" s="5" t="s">
        <v>1181</v>
      </c>
      <c r="J246" s="5" t="s">
        <v>1182</v>
      </c>
      <c r="K246" s="5" t="s">
        <v>1183</v>
      </c>
      <c r="L246" s="5">
        <v>2000</v>
      </c>
      <c r="M246" s="14">
        <v>2511</v>
      </c>
    </row>
    <row r="247" spans="1:13" x14ac:dyDescent="0.3">
      <c r="A247" s="13" t="s">
        <v>1184</v>
      </c>
      <c r="B247" s="8" t="s">
        <v>136</v>
      </c>
      <c r="C247" s="8" t="s">
        <v>137</v>
      </c>
      <c r="D247" s="8" t="s">
        <v>1185</v>
      </c>
      <c r="E247" s="8" t="s">
        <v>486</v>
      </c>
      <c r="F247" s="8" t="s">
        <v>169</v>
      </c>
      <c r="G247" s="8" t="s">
        <v>264</v>
      </c>
      <c r="H247" s="8" t="s">
        <v>365</v>
      </c>
      <c r="I247" s="8" t="s">
        <v>1186</v>
      </c>
      <c r="J247" s="8" t="s">
        <v>556</v>
      </c>
      <c r="K247" s="8" t="s">
        <v>556</v>
      </c>
      <c r="L247" s="8">
        <v>2000</v>
      </c>
      <c r="M247" s="15">
        <v>1912</v>
      </c>
    </row>
    <row r="248" spans="1:13" x14ac:dyDescent="0.3">
      <c r="A248" s="12" t="s">
        <v>1187</v>
      </c>
      <c r="B248" s="5" t="s">
        <v>96</v>
      </c>
      <c r="C248" s="5" t="s">
        <v>97</v>
      </c>
      <c r="D248" s="5" t="s">
        <v>1053</v>
      </c>
      <c r="E248" s="5" t="s">
        <v>349</v>
      </c>
      <c r="F248" s="5" t="s">
        <v>224</v>
      </c>
      <c r="G248" s="5" t="s">
        <v>264</v>
      </c>
      <c r="H248" s="5" t="s">
        <v>324</v>
      </c>
      <c r="I248" s="5" t="s">
        <v>1188</v>
      </c>
      <c r="J248" s="5" t="s">
        <v>1189</v>
      </c>
      <c r="K248" s="5" t="s">
        <v>1189</v>
      </c>
      <c r="L248" s="5">
        <v>8000</v>
      </c>
      <c r="M248" s="14">
        <v>11057</v>
      </c>
    </row>
    <row r="249" spans="1:13" x14ac:dyDescent="0.3">
      <c r="A249" s="13" t="s">
        <v>1190</v>
      </c>
      <c r="B249" s="8" t="s">
        <v>113</v>
      </c>
      <c r="C249" s="8" t="s">
        <v>114</v>
      </c>
      <c r="D249" s="8" t="s">
        <v>1191</v>
      </c>
      <c r="E249" s="8" t="s">
        <v>187</v>
      </c>
      <c r="F249" s="8" t="s">
        <v>149</v>
      </c>
      <c r="G249" s="8" t="s">
        <v>293</v>
      </c>
      <c r="H249" s="8" t="s">
        <v>245</v>
      </c>
      <c r="I249" s="8" t="s">
        <v>860</v>
      </c>
      <c r="J249" s="8" t="s">
        <v>1192</v>
      </c>
      <c r="K249" s="8"/>
      <c r="L249" s="8">
        <v>1500</v>
      </c>
      <c r="M249" s="15">
        <v>422</v>
      </c>
    </row>
    <row r="250" spans="1:13" x14ac:dyDescent="0.3">
      <c r="A250" s="12" t="s">
        <v>1193</v>
      </c>
      <c r="B250" s="5" t="s">
        <v>86</v>
      </c>
      <c r="C250" s="5" t="s">
        <v>87</v>
      </c>
      <c r="D250" s="5" t="s">
        <v>805</v>
      </c>
      <c r="E250" s="5" t="s">
        <v>164</v>
      </c>
      <c r="F250" s="5" t="s">
        <v>203</v>
      </c>
      <c r="G250" s="5" t="s">
        <v>509</v>
      </c>
      <c r="H250" s="5" t="s">
        <v>294</v>
      </c>
      <c r="I250" s="5" t="s">
        <v>1194</v>
      </c>
      <c r="J250" s="5" t="s">
        <v>1195</v>
      </c>
      <c r="K250" s="5" t="s">
        <v>1195</v>
      </c>
      <c r="L250" s="5">
        <v>6000</v>
      </c>
      <c r="M250" s="14">
        <v>5449</v>
      </c>
    </row>
    <row r="251" spans="1:13" x14ac:dyDescent="0.3">
      <c r="A251" s="13" t="s">
        <v>1196</v>
      </c>
      <c r="B251" s="8" t="s">
        <v>101</v>
      </c>
      <c r="C251" s="8" t="s">
        <v>102</v>
      </c>
      <c r="D251" s="8" t="s">
        <v>1197</v>
      </c>
      <c r="E251" s="8" t="s">
        <v>292</v>
      </c>
      <c r="F251" s="8" t="s">
        <v>1198</v>
      </c>
      <c r="G251" s="8" t="s">
        <v>257</v>
      </c>
      <c r="H251" s="8" t="s">
        <v>238</v>
      </c>
      <c r="I251" s="8" t="s">
        <v>948</v>
      </c>
      <c r="J251" s="8" t="s">
        <v>833</v>
      </c>
      <c r="K251" s="8" t="s">
        <v>1199</v>
      </c>
      <c r="L251" s="8">
        <v>4000</v>
      </c>
      <c r="M251" s="15">
        <v>5388</v>
      </c>
    </row>
    <row r="252" spans="1:13" x14ac:dyDescent="0.3">
      <c r="A252" s="12" t="s">
        <v>1200</v>
      </c>
      <c r="B252" s="5" t="s">
        <v>122</v>
      </c>
      <c r="C252" s="5" t="s">
        <v>123</v>
      </c>
      <c r="D252" s="5" t="s">
        <v>274</v>
      </c>
      <c r="E252" s="5" t="s">
        <v>538</v>
      </c>
      <c r="F252" s="5" t="s">
        <v>158</v>
      </c>
      <c r="G252" s="5" t="s">
        <v>301</v>
      </c>
      <c r="H252" s="5" t="s">
        <v>351</v>
      </c>
      <c r="I252" s="5" t="s">
        <v>1201</v>
      </c>
      <c r="J252" s="5" t="s">
        <v>664</v>
      </c>
      <c r="K252" s="5"/>
      <c r="L252" s="5">
        <v>3000</v>
      </c>
      <c r="M252" s="14">
        <v>0</v>
      </c>
    </row>
    <row r="253" spans="1:13" x14ac:dyDescent="0.3">
      <c r="A253" s="13" t="s">
        <v>1202</v>
      </c>
      <c r="B253" s="8" t="s">
        <v>140</v>
      </c>
      <c r="C253" s="8" t="s">
        <v>141</v>
      </c>
      <c r="D253" s="8" t="s">
        <v>1203</v>
      </c>
      <c r="E253" s="8" t="s">
        <v>219</v>
      </c>
      <c r="F253" s="8" t="s">
        <v>209</v>
      </c>
      <c r="G253" s="8" t="s">
        <v>275</v>
      </c>
      <c r="H253" s="8" t="s">
        <v>365</v>
      </c>
      <c r="I253" s="8" t="s">
        <v>1204</v>
      </c>
      <c r="J253" s="8" t="s">
        <v>1205</v>
      </c>
      <c r="K253" s="8" t="s">
        <v>1206</v>
      </c>
      <c r="L253" s="8">
        <v>2000</v>
      </c>
      <c r="M253" s="15">
        <v>2401</v>
      </c>
    </row>
    <row r="254" spans="1:13" x14ac:dyDescent="0.3">
      <c r="A254" s="12" t="s">
        <v>1207</v>
      </c>
      <c r="B254" s="5" t="s">
        <v>118</v>
      </c>
      <c r="C254" s="5" t="s">
        <v>119</v>
      </c>
      <c r="D254" s="5" t="s">
        <v>1208</v>
      </c>
      <c r="E254" s="5" t="s">
        <v>349</v>
      </c>
      <c r="F254" s="5" t="s">
        <v>212</v>
      </c>
      <c r="G254" s="5" t="s">
        <v>509</v>
      </c>
      <c r="H254" s="5" t="s">
        <v>440</v>
      </c>
      <c r="I254" s="5" t="s">
        <v>1209</v>
      </c>
      <c r="J254" s="5" t="s">
        <v>725</v>
      </c>
      <c r="K254" s="5" t="s">
        <v>1210</v>
      </c>
      <c r="L254" s="5">
        <v>2500</v>
      </c>
      <c r="M254" s="14">
        <v>3083</v>
      </c>
    </row>
    <row r="255" spans="1:13" x14ac:dyDescent="0.3">
      <c r="A255" s="13" t="s">
        <v>1211</v>
      </c>
      <c r="B255" s="8" t="s">
        <v>133</v>
      </c>
      <c r="C255" s="8" t="s">
        <v>134</v>
      </c>
      <c r="D255" s="8" t="s">
        <v>566</v>
      </c>
      <c r="E255" s="8" t="s">
        <v>300</v>
      </c>
      <c r="F255" s="8" t="s">
        <v>222</v>
      </c>
      <c r="G255" s="8" t="s">
        <v>301</v>
      </c>
      <c r="H255" s="8" t="s">
        <v>245</v>
      </c>
      <c r="I255" s="8" t="s">
        <v>1212</v>
      </c>
      <c r="J255" s="8" t="s">
        <v>1213</v>
      </c>
      <c r="K255" s="8"/>
      <c r="L255" s="8">
        <v>2000</v>
      </c>
      <c r="M255" s="15">
        <v>758</v>
      </c>
    </row>
    <row r="256" spans="1:13" x14ac:dyDescent="0.3">
      <c r="A256" s="12" t="s">
        <v>1214</v>
      </c>
      <c r="B256" s="5" t="s">
        <v>91</v>
      </c>
      <c r="C256" s="5" t="s">
        <v>92</v>
      </c>
      <c r="D256" s="5" t="s">
        <v>1215</v>
      </c>
      <c r="E256" s="5" t="s">
        <v>533</v>
      </c>
      <c r="F256" s="5" t="s">
        <v>167</v>
      </c>
      <c r="G256" s="5"/>
      <c r="H256" s="5" t="s">
        <v>324</v>
      </c>
      <c r="I256" s="5" t="s">
        <v>1216</v>
      </c>
      <c r="J256" s="5" t="s">
        <v>646</v>
      </c>
      <c r="K256" s="5" t="s">
        <v>646</v>
      </c>
      <c r="L256" s="5">
        <v>8000</v>
      </c>
      <c r="M256" s="14">
        <v>6410</v>
      </c>
    </row>
    <row r="257" spans="1:13" x14ac:dyDescent="0.3">
      <c r="A257" s="13" t="s">
        <v>1217</v>
      </c>
      <c r="B257" s="8" t="s">
        <v>122</v>
      </c>
      <c r="C257" s="8" t="s">
        <v>123</v>
      </c>
      <c r="D257" s="8" t="s">
        <v>485</v>
      </c>
      <c r="E257" s="8" t="s">
        <v>706</v>
      </c>
      <c r="F257" s="8" t="s">
        <v>161</v>
      </c>
      <c r="G257" s="8" t="s">
        <v>350</v>
      </c>
      <c r="H257" s="8" t="s">
        <v>276</v>
      </c>
      <c r="I257" s="8" t="s">
        <v>609</v>
      </c>
      <c r="J257" s="8" t="s">
        <v>497</v>
      </c>
      <c r="K257" s="8"/>
      <c r="L257" s="8">
        <v>2500</v>
      </c>
      <c r="M257" s="15">
        <v>0</v>
      </c>
    </row>
    <row r="258" spans="1:13" x14ac:dyDescent="0.3">
      <c r="A258" s="12" t="s">
        <v>1218</v>
      </c>
      <c r="B258" s="5" t="s">
        <v>86</v>
      </c>
      <c r="C258" s="5" t="s">
        <v>87</v>
      </c>
      <c r="D258" s="5" t="s">
        <v>1219</v>
      </c>
      <c r="E258" s="5" t="s">
        <v>292</v>
      </c>
      <c r="F258" s="5" t="s">
        <v>190</v>
      </c>
      <c r="G258" s="5" t="s">
        <v>237</v>
      </c>
      <c r="H258" s="5" t="s">
        <v>319</v>
      </c>
      <c r="I258" s="5" t="s">
        <v>1017</v>
      </c>
      <c r="J258" s="5" t="s">
        <v>1220</v>
      </c>
      <c r="K258" s="5"/>
      <c r="L258" s="5">
        <v>1500</v>
      </c>
      <c r="M258" s="14">
        <v>551</v>
      </c>
    </row>
    <row r="259" spans="1:13" x14ac:dyDescent="0.3">
      <c r="A259" s="13" t="s">
        <v>1221</v>
      </c>
      <c r="B259" s="8" t="s">
        <v>113</v>
      </c>
      <c r="C259" s="8" t="s">
        <v>114</v>
      </c>
      <c r="D259" s="8" t="s">
        <v>1222</v>
      </c>
      <c r="E259" s="8" t="s">
        <v>446</v>
      </c>
      <c r="F259" s="8" t="s">
        <v>209</v>
      </c>
      <c r="G259" s="8" t="s">
        <v>264</v>
      </c>
      <c r="H259" s="8" t="s">
        <v>356</v>
      </c>
      <c r="I259" s="8" t="s">
        <v>756</v>
      </c>
      <c r="J259" s="8" t="s">
        <v>1223</v>
      </c>
      <c r="K259" s="8" t="s">
        <v>1223</v>
      </c>
      <c r="L259" s="8">
        <v>2500</v>
      </c>
      <c r="M259" s="15">
        <v>3146</v>
      </c>
    </row>
    <row r="260" spans="1:13" x14ac:dyDescent="0.3">
      <c r="A260" s="12" t="s">
        <v>1224</v>
      </c>
      <c r="B260" s="5" t="s">
        <v>105</v>
      </c>
      <c r="C260" s="5" t="s">
        <v>106</v>
      </c>
      <c r="D260" s="5" t="s">
        <v>612</v>
      </c>
      <c r="E260" s="5" t="s">
        <v>249</v>
      </c>
      <c r="F260" s="5" t="s">
        <v>209</v>
      </c>
      <c r="G260" s="5" t="s">
        <v>281</v>
      </c>
      <c r="H260" s="5" t="s">
        <v>440</v>
      </c>
      <c r="I260" s="5" t="s">
        <v>1225</v>
      </c>
      <c r="J260" s="5" t="s">
        <v>1226</v>
      </c>
      <c r="K260" s="5" t="s">
        <v>983</v>
      </c>
      <c r="L260" s="5">
        <v>4000</v>
      </c>
      <c r="M260" s="14">
        <v>5387</v>
      </c>
    </row>
    <row r="261" spans="1:13" x14ac:dyDescent="0.3">
      <c r="A261" s="13" t="s">
        <v>1227</v>
      </c>
      <c r="B261" s="8" t="s">
        <v>118</v>
      </c>
      <c r="C261" s="8" t="s">
        <v>119</v>
      </c>
      <c r="D261" s="8" t="s">
        <v>1228</v>
      </c>
      <c r="E261" s="8" t="s">
        <v>335</v>
      </c>
      <c r="F261" s="8" t="s">
        <v>158</v>
      </c>
      <c r="G261" s="8" t="s">
        <v>293</v>
      </c>
      <c r="H261" s="8" t="s">
        <v>324</v>
      </c>
      <c r="I261" s="8" t="s">
        <v>1229</v>
      </c>
      <c r="J261" s="8" t="s">
        <v>773</v>
      </c>
      <c r="K261" s="8" t="s">
        <v>1209</v>
      </c>
      <c r="L261" s="8">
        <v>1500</v>
      </c>
      <c r="M261" s="15">
        <v>2021</v>
      </c>
    </row>
    <row r="262" spans="1:13" x14ac:dyDescent="0.3">
      <c r="A262" s="12" t="s">
        <v>1230</v>
      </c>
      <c r="B262" s="5" t="s">
        <v>81</v>
      </c>
      <c r="C262" s="5" t="s">
        <v>82</v>
      </c>
      <c r="D262" s="5" t="s">
        <v>710</v>
      </c>
      <c r="E262" s="5" t="s">
        <v>150</v>
      </c>
      <c r="F262" s="5" t="s">
        <v>180</v>
      </c>
      <c r="G262" s="5" t="s">
        <v>350</v>
      </c>
      <c r="H262" s="5" t="s">
        <v>356</v>
      </c>
      <c r="I262" s="5" t="s">
        <v>1030</v>
      </c>
      <c r="J262" s="5" t="s">
        <v>1231</v>
      </c>
      <c r="K262" s="5" t="s">
        <v>1232</v>
      </c>
      <c r="L262" s="5">
        <v>3000</v>
      </c>
      <c r="M262" s="14">
        <v>2378</v>
      </c>
    </row>
    <row r="263" spans="1:13" x14ac:dyDescent="0.3">
      <c r="A263" s="13" t="s">
        <v>1233</v>
      </c>
      <c r="B263" s="8" t="s">
        <v>101</v>
      </c>
      <c r="C263" s="8" t="s">
        <v>102</v>
      </c>
      <c r="D263" s="8" t="s">
        <v>1234</v>
      </c>
      <c r="E263" s="8" t="s">
        <v>256</v>
      </c>
      <c r="F263" s="8" t="s">
        <v>222</v>
      </c>
      <c r="G263" s="8" t="s">
        <v>250</v>
      </c>
      <c r="H263" s="8" t="s">
        <v>365</v>
      </c>
      <c r="I263" s="8" t="s">
        <v>554</v>
      </c>
      <c r="J263" s="8" t="s">
        <v>1235</v>
      </c>
      <c r="K263" s="8" t="s">
        <v>1129</v>
      </c>
      <c r="L263" s="8">
        <v>8000</v>
      </c>
      <c r="M263" s="15">
        <v>8647</v>
      </c>
    </row>
    <row r="264" spans="1:13" x14ac:dyDescent="0.3">
      <c r="A264" s="12" t="s">
        <v>1236</v>
      </c>
      <c r="B264" s="5" t="s">
        <v>122</v>
      </c>
      <c r="C264" s="5" t="s">
        <v>123</v>
      </c>
      <c r="D264" s="5" t="s">
        <v>1237</v>
      </c>
      <c r="E264" s="5" t="s">
        <v>481</v>
      </c>
      <c r="F264" s="5" t="s">
        <v>224</v>
      </c>
      <c r="G264" s="5" t="s">
        <v>281</v>
      </c>
      <c r="H264" s="5" t="s">
        <v>251</v>
      </c>
      <c r="I264" s="5" t="s">
        <v>1238</v>
      </c>
      <c r="J264" s="5" t="s">
        <v>1239</v>
      </c>
      <c r="K264" s="5"/>
      <c r="L264" s="5">
        <v>8000</v>
      </c>
      <c r="M264" s="14">
        <v>2241</v>
      </c>
    </row>
    <row r="265" spans="1:13" x14ac:dyDescent="0.3">
      <c r="A265" s="13" t="s">
        <v>1240</v>
      </c>
      <c r="B265" s="8" t="s">
        <v>133</v>
      </c>
      <c r="C265" s="8" t="s">
        <v>134</v>
      </c>
      <c r="D265" s="8" t="s">
        <v>1191</v>
      </c>
      <c r="E265" s="8" t="s">
        <v>236</v>
      </c>
      <c r="F265" s="8" t="s">
        <v>700</v>
      </c>
      <c r="G265" s="8" t="s">
        <v>281</v>
      </c>
      <c r="H265" s="8" t="s">
        <v>430</v>
      </c>
      <c r="I265" s="8" t="s">
        <v>420</v>
      </c>
      <c r="J265" s="8" t="s">
        <v>653</v>
      </c>
      <c r="K265" s="8"/>
      <c r="L265" s="8">
        <v>2000</v>
      </c>
      <c r="M265" s="15">
        <v>0</v>
      </c>
    </row>
    <row r="266" spans="1:13" x14ac:dyDescent="0.3">
      <c r="A266" s="12" t="s">
        <v>1241</v>
      </c>
      <c r="B266" s="5" t="s">
        <v>81</v>
      </c>
      <c r="C266" s="5" t="s">
        <v>82</v>
      </c>
      <c r="D266" s="5" t="s">
        <v>1242</v>
      </c>
      <c r="E266" s="5" t="s">
        <v>300</v>
      </c>
      <c r="F266" s="5" t="s">
        <v>205</v>
      </c>
      <c r="G266" s="5" t="s">
        <v>244</v>
      </c>
      <c r="H266" s="5" t="s">
        <v>356</v>
      </c>
      <c r="I266" s="5" t="s">
        <v>1243</v>
      </c>
      <c r="J266" s="5" t="s">
        <v>512</v>
      </c>
      <c r="K266" s="5" t="s">
        <v>1244</v>
      </c>
      <c r="L266" s="5">
        <v>3000</v>
      </c>
      <c r="M266" s="14">
        <v>3208</v>
      </c>
    </row>
    <row r="267" spans="1:13" x14ac:dyDescent="0.3">
      <c r="A267" s="13" t="s">
        <v>1245</v>
      </c>
      <c r="B267" s="8" t="s">
        <v>129</v>
      </c>
      <c r="C267" s="8" t="s">
        <v>130</v>
      </c>
      <c r="D267" s="8" t="s">
        <v>1246</v>
      </c>
      <c r="E267" s="8" t="s">
        <v>446</v>
      </c>
      <c r="F267" s="8" t="s">
        <v>193</v>
      </c>
      <c r="G267" s="8" t="s">
        <v>257</v>
      </c>
      <c r="H267" s="8" t="s">
        <v>319</v>
      </c>
      <c r="I267" s="8" t="s">
        <v>1247</v>
      </c>
      <c r="J267" s="8" t="s">
        <v>1103</v>
      </c>
      <c r="K267" s="8"/>
      <c r="L267" s="8">
        <v>2000</v>
      </c>
      <c r="M267" s="15">
        <v>1335</v>
      </c>
    </row>
    <row r="268" spans="1:13" x14ac:dyDescent="0.3">
      <c r="A268" s="12" t="s">
        <v>1248</v>
      </c>
      <c r="B268" s="5" t="s">
        <v>122</v>
      </c>
      <c r="C268" s="5" t="s">
        <v>123</v>
      </c>
      <c r="D268" s="5" t="s">
        <v>1094</v>
      </c>
      <c r="E268" s="5" t="s">
        <v>150</v>
      </c>
      <c r="F268" s="5" t="s">
        <v>161</v>
      </c>
      <c r="G268" s="5" t="s">
        <v>301</v>
      </c>
      <c r="H268" s="5" t="s">
        <v>314</v>
      </c>
      <c r="I268" s="5" t="s">
        <v>1249</v>
      </c>
      <c r="J268" s="5" t="s">
        <v>1250</v>
      </c>
      <c r="K268" s="5" t="s">
        <v>1251</v>
      </c>
      <c r="L268" s="5">
        <v>3000</v>
      </c>
      <c r="M268" s="14">
        <v>2451</v>
      </c>
    </row>
    <row r="269" spans="1:13" x14ac:dyDescent="0.3">
      <c r="A269" s="13" t="s">
        <v>1252</v>
      </c>
      <c r="B269" s="8" t="s">
        <v>109</v>
      </c>
      <c r="C269" s="8" t="s">
        <v>110</v>
      </c>
      <c r="D269" s="8" t="s">
        <v>800</v>
      </c>
      <c r="E269" s="8" t="s">
        <v>467</v>
      </c>
      <c r="F269" s="8" t="s">
        <v>180</v>
      </c>
      <c r="G269" s="8" t="s">
        <v>318</v>
      </c>
      <c r="H269" s="8" t="s">
        <v>302</v>
      </c>
      <c r="I269" s="8" t="s">
        <v>1253</v>
      </c>
      <c r="J269" s="8" t="s">
        <v>337</v>
      </c>
      <c r="K269" s="8"/>
      <c r="L269" s="8">
        <v>8000</v>
      </c>
      <c r="M269" s="15">
        <v>2238</v>
      </c>
    </row>
    <row r="270" spans="1:13" x14ac:dyDescent="0.3">
      <c r="A270" s="12" t="s">
        <v>1254</v>
      </c>
      <c r="B270" s="5" t="s">
        <v>113</v>
      </c>
      <c r="C270" s="5" t="s">
        <v>114</v>
      </c>
      <c r="D270" s="5" t="s">
        <v>1255</v>
      </c>
      <c r="E270" s="5" t="s">
        <v>335</v>
      </c>
      <c r="F270" s="5" t="s">
        <v>401</v>
      </c>
      <c r="G270" s="5" t="s">
        <v>350</v>
      </c>
      <c r="H270" s="5" t="s">
        <v>351</v>
      </c>
      <c r="I270" s="5" t="s">
        <v>278</v>
      </c>
      <c r="J270" s="5" t="s">
        <v>1216</v>
      </c>
      <c r="K270" s="5"/>
      <c r="L270" s="5">
        <v>1500</v>
      </c>
      <c r="M270" s="14">
        <v>0</v>
      </c>
    </row>
    <row r="271" spans="1:13" x14ac:dyDescent="0.3">
      <c r="A271" s="13" t="s">
        <v>1256</v>
      </c>
      <c r="B271" s="8" t="s">
        <v>129</v>
      </c>
      <c r="C271" s="8" t="s">
        <v>130</v>
      </c>
      <c r="D271" s="8" t="s">
        <v>600</v>
      </c>
      <c r="E271" s="8" t="s">
        <v>177</v>
      </c>
      <c r="F271" s="8" t="s">
        <v>216</v>
      </c>
      <c r="G271" s="8" t="s">
        <v>509</v>
      </c>
      <c r="H271" s="8" t="s">
        <v>324</v>
      </c>
      <c r="I271" s="8" t="s">
        <v>1257</v>
      </c>
      <c r="J271" s="8" t="s">
        <v>981</v>
      </c>
      <c r="K271" s="8" t="s">
        <v>1225</v>
      </c>
      <c r="L271" s="8">
        <v>2500</v>
      </c>
      <c r="M271" s="15">
        <v>2372</v>
      </c>
    </row>
    <row r="272" spans="1:13" x14ac:dyDescent="0.3">
      <c r="A272" s="12" t="s">
        <v>1258</v>
      </c>
      <c r="B272" s="5" t="s">
        <v>140</v>
      </c>
      <c r="C272" s="5" t="s">
        <v>141</v>
      </c>
      <c r="D272" s="5" t="s">
        <v>1259</v>
      </c>
      <c r="E272" s="5" t="s">
        <v>187</v>
      </c>
      <c r="F272" s="5" t="s">
        <v>222</v>
      </c>
      <c r="G272" s="5" t="s">
        <v>301</v>
      </c>
      <c r="H272" s="5" t="s">
        <v>245</v>
      </c>
      <c r="I272" s="5" t="s">
        <v>770</v>
      </c>
      <c r="J272" s="5" t="s">
        <v>1260</v>
      </c>
      <c r="K272" s="5"/>
      <c r="L272" s="5">
        <v>5000</v>
      </c>
      <c r="M272" s="14">
        <v>1935</v>
      </c>
    </row>
    <row r="273" spans="1:13" x14ac:dyDescent="0.3">
      <c r="A273" s="13" t="s">
        <v>1261</v>
      </c>
      <c r="B273" s="8" t="s">
        <v>136</v>
      </c>
      <c r="C273" s="8" t="s">
        <v>137</v>
      </c>
      <c r="D273" s="8" t="s">
        <v>492</v>
      </c>
      <c r="E273" s="8" t="s">
        <v>307</v>
      </c>
      <c r="F273" s="8" t="s">
        <v>161</v>
      </c>
      <c r="G273" s="8" t="s">
        <v>301</v>
      </c>
      <c r="H273" s="8" t="s">
        <v>592</v>
      </c>
      <c r="I273" s="8" t="s">
        <v>1262</v>
      </c>
      <c r="J273" s="8" t="s">
        <v>1263</v>
      </c>
      <c r="K273" s="8"/>
      <c r="L273" s="8">
        <v>4000</v>
      </c>
      <c r="M273" s="15">
        <v>0</v>
      </c>
    </row>
    <row r="274" spans="1:13" x14ac:dyDescent="0.3">
      <c r="A274" s="12" t="s">
        <v>1264</v>
      </c>
      <c r="B274" s="5" t="s">
        <v>86</v>
      </c>
      <c r="C274" s="5" t="s">
        <v>87</v>
      </c>
      <c r="D274" s="5" t="s">
        <v>1159</v>
      </c>
      <c r="E274" s="5" t="s">
        <v>538</v>
      </c>
      <c r="F274" s="5" t="s">
        <v>216</v>
      </c>
      <c r="G274" s="5" t="s">
        <v>237</v>
      </c>
      <c r="H274" s="5" t="s">
        <v>487</v>
      </c>
      <c r="I274" s="5" t="s">
        <v>1265</v>
      </c>
      <c r="J274" s="5" t="s">
        <v>1266</v>
      </c>
      <c r="K274" s="5" t="s">
        <v>1267</v>
      </c>
      <c r="L274" s="5">
        <v>3000</v>
      </c>
      <c r="M274" s="14">
        <v>2584</v>
      </c>
    </row>
    <row r="275" spans="1:13" x14ac:dyDescent="0.3">
      <c r="A275" s="13" t="s">
        <v>1268</v>
      </c>
      <c r="B275" s="8" t="s">
        <v>96</v>
      </c>
      <c r="C275" s="8" t="s">
        <v>97</v>
      </c>
      <c r="D275" s="8" t="s">
        <v>1269</v>
      </c>
      <c r="E275" s="8" t="s">
        <v>405</v>
      </c>
      <c r="F275" s="8" t="s">
        <v>222</v>
      </c>
      <c r="G275" s="8" t="s">
        <v>275</v>
      </c>
      <c r="H275" s="8" t="s">
        <v>294</v>
      </c>
      <c r="I275" s="8" t="s">
        <v>1270</v>
      </c>
      <c r="J275" s="8" t="s">
        <v>1271</v>
      </c>
      <c r="K275" s="8" t="s">
        <v>1272</v>
      </c>
      <c r="L275" s="8">
        <v>1000</v>
      </c>
      <c r="M275" s="15">
        <v>1015</v>
      </c>
    </row>
    <row r="276" spans="1:13" x14ac:dyDescent="0.3">
      <c r="A276" s="12" t="s">
        <v>1273</v>
      </c>
      <c r="B276" s="5" t="s">
        <v>109</v>
      </c>
      <c r="C276" s="5" t="s">
        <v>110</v>
      </c>
      <c r="D276" s="5" t="s">
        <v>514</v>
      </c>
      <c r="E276" s="5" t="s">
        <v>206</v>
      </c>
      <c r="F276" s="5" t="s">
        <v>155</v>
      </c>
      <c r="G276" s="5" t="s">
        <v>244</v>
      </c>
      <c r="H276" s="5" t="s">
        <v>258</v>
      </c>
      <c r="I276" s="5" t="s">
        <v>1274</v>
      </c>
      <c r="J276" s="5" t="s">
        <v>712</v>
      </c>
      <c r="K276" s="5" t="s">
        <v>1275</v>
      </c>
      <c r="L276" s="5">
        <v>10000</v>
      </c>
      <c r="M276" s="14">
        <v>11220</v>
      </c>
    </row>
    <row r="277" spans="1:13" x14ac:dyDescent="0.3">
      <c r="A277" s="13" t="s">
        <v>1276</v>
      </c>
      <c r="B277" s="8" t="s">
        <v>129</v>
      </c>
      <c r="C277" s="8" t="s">
        <v>130</v>
      </c>
      <c r="D277" s="8" t="s">
        <v>608</v>
      </c>
      <c r="E277" s="8" t="s">
        <v>177</v>
      </c>
      <c r="F277" s="8" t="s">
        <v>186</v>
      </c>
      <c r="G277" s="8" t="s">
        <v>244</v>
      </c>
      <c r="H277" s="8" t="s">
        <v>294</v>
      </c>
      <c r="I277" s="8" t="s">
        <v>628</v>
      </c>
      <c r="J277" s="8" t="s">
        <v>1277</v>
      </c>
      <c r="K277" s="8" t="s">
        <v>1278</v>
      </c>
      <c r="L277" s="8">
        <v>2500</v>
      </c>
      <c r="M277" s="15">
        <v>2376</v>
      </c>
    </row>
    <row r="278" spans="1:13" x14ac:dyDescent="0.3">
      <c r="A278" s="12" t="s">
        <v>1279</v>
      </c>
      <c r="B278" s="5" t="s">
        <v>113</v>
      </c>
      <c r="C278" s="5" t="s">
        <v>114</v>
      </c>
      <c r="D278" s="5" t="s">
        <v>476</v>
      </c>
      <c r="E278" s="5" t="s">
        <v>467</v>
      </c>
      <c r="F278" s="5" t="s">
        <v>222</v>
      </c>
      <c r="G278" s="5" t="s">
        <v>244</v>
      </c>
      <c r="H278" s="5" t="s">
        <v>294</v>
      </c>
      <c r="I278" s="5" t="s">
        <v>1280</v>
      </c>
      <c r="J278" s="5" t="s">
        <v>995</v>
      </c>
      <c r="K278" s="5" t="s">
        <v>1281</v>
      </c>
      <c r="L278" s="5"/>
      <c r="M278" s="14">
        <v>1656</v>
      </c>
    </row>
    <row r="279" spans="1:13" x14ac:dyDescent="0.3">
      <c r="A279" s="13" t="s">
        <v>1282</v>
      </c>
      <c r="B279" s="8" t="s">
        <v>118</v>
      </c>
      <c r="C279" s="8" t="s">
        <v>119</v>
      </c>
      <c r="D279" s="8" t="s">
        <v>280</v>
      </c>
      <c r="E279" s="8" t="s">
        <v>313</v>
      </c>
      <c r="F279" s="8" t="s">
        <v>153</v>
      </c>
      <c r="G279" s="8" t="s">
        <v>281</v>
      </c>
      <c r="H279" s="8" t="s">
        <v>351</v>
      </c>
      <c r="I279" s="8" t="s">
        <v>1283</v>
      </c>
      <c r="J279" s="8" t="s">
        <v>1284</v>
      </c>
      <c r="K279" s="8"/>
      <c r="L279" s="8">
        <v>2000</v>
      </c>
      <c r="M279" s="15">
        <v>0</v>
      </c>
    </row>
    <row r="280" spans="1:13" x14ac:dyDescent="0.3">
      <c r="A280" s="12" t="s">
        <v>762</v>
      </c>
      <c r="B280" s="5" t="s">
        <v>136</v>
      </c>
      <c r="C280" s="5" t="s">
        <v>137</v>
      </c>
      <c r="D280" s="5" t="s">
        <v>763</v>
      </c>
      <c r="E280" s="5" t="s">
        <v>197</v>
      </c>
      <c r="F280" s="5" t="s">
        <v>764</v>
      </c>
      <c r="G280" s="5" t="s">
        <v>281</v>
      </c>
      <c r="H280" s="5" t="s">
        <v>294</v>
      </c>
      <c r="I280" s="5" t="s">
        <v>765</v>
      </c>
      <c r="J280" s="5" t="s">
        <v>325</v>
      </c>
      <c r="K280" s="5" t="s">
        <v>325</v>
      </c>
      <c r="L280" s="5">
        <v>6000</v>
      </c>
      <c r="M280" s="14">
        <v>5085</v>
      </c>
    </row>
    <row r="281" spans="1:13" x14ac:dyDescent="0.3">
      <c r="A281" s="13" t="s">
        <v>1285</v>
      </c>
      <c r="B281" s="8" t="s">
        <v>101</v>
      </c>
      <c r="C281" s="8" t="s">
        <v>102</v>
      </c>
      <c r="D281" s="8" t="s">
        <v>553</v>
      </c>
      <c r="E281" s="8" t="s">
        <v>249</v>
      </c>
      <c r="F281" s="8" t="s">
        <v>216</v>
      </c>
      <c r="G281" s="8" t="s">
        <v>281</v>
      </c>
      <c r="H281" s="8" t="s">
        <v>287</v>
      </c>
      <c r="I281" s="8" t="s">
        <v>1286</v>
      </c>
      <c r="J281" s="8" t="s">
        <v>1287</v>
      </c>
      <c r="K281" s="8"/>
      <c r="L281" s="8">
        <v>1500</v>
      </c>
      <c r="M281" s="15">
        <v>994</v>
      </c>
    </row>
    <row r="282" spans="1:13" x14ac:dyDescent="0.3">
      <c r="A282" s="12" t="s">
        <v>1288</v>
      </c>
      <c r="B282" s="5" t="s">
        <v>101</v>
      </c>
      <c r="C282" s="5" t="s">
        <v>102</v>
      </c>
      <c r="D282" s="5" t="s">
        <v>1289</v>
      </c>
      <c r="E282" s="5" t="s">
        <v>349</v>
      </c>
      <c r="F282" s="5" t="s">
        <v>218</v>
      </c>
      <c r="G282" s="5" t="s">
        <v>275</v>
      </c>
      <c r="H282" s="5" t="s">
        <v>487</v>
      </c>
      <c r="I282" s="5" t="s">
        <v>1290</v>
      </c>
      <c r="J282" s="5" t="s">
        <v>463</v>
      </c>
      <c r="K282" s="5" t="s">
        <v>1056</v>
      </c>
      <c r="L282" s="5">
        <v>2500</v>
      </c>
      <c r="M282" s="14">
        <v>2251</v>
      </c>
    </row>
    <row r="283" spans="1:13" x14ac:dyDescent="0.3">
      <c r="A283" s="13" t="s">
        <v>1291</v>
      </c>
      <c r="B283" s="8" t="s">
        <v>133</v>
      </c>
      <c r="C283" s="8" t="s">
        <v>134</v>
      </c>
      <c r="D283" s="8" t="s">
        <v>1269</v>
      </c>
      <c r="E283" s="8" t="s">
        <v>486</v>
      </c>
      <c r="F283" s="8" t="s">
        <v>167</v>
      </c>
      <c r="G283" s="8" t="s">
        <v>244</v>
      </c>
      <c r="H283" s="8" t="s">
        <v>430</v>
      </c>
      <c r="I283" s="8" t="s">
        <v>1292</v>
      </c>
      <c r="J283" s="8" t="s">
        <v>770</v>
      </c>
      <c r="K283" s="8"/>
      <c r="L283" s="8">
        <v>5000</v>
      </c>
      <c r="M283" s="15">
        <v>0</v>
      </c>
    </row>
    <row r="284" spans="1:13" x14ac:dyDescent="0.3">
      <c r="A284" s="12" t="s">
        <v>1293</v>
      </c>
      <c r="B284" s="5" t="s">
        <v>136</v>
      </c>
      <c r="C284" s="5" t="s">
        <v>137</v>
      </c>
      <c r="D284" s="5" t="s">
        <v>1016</v>
      </c>
      <c r="E284" s="5" t="s">
        <v>249</v>
      </c>
      <c r="F284" s="5" t="s">
        <v>155</v>
      </c>
      <c r="G284" s="5" t="s">
        <v>318</v>
      </c>
      <c r="H284" s="5" t="s">
        <v>324</v>
      </c>
      <c r="I284" s="5" t="s">
        <v>1294</v>
      </c>
      <c r="J284" s="5" t="s">
        <v>1295</v>
      </c>
      <c r="K284" s="5" t="s">
        <v>1296</v>
      </c>
      <c r="L284" s="5">
        <v>6000</v>
      </c>
      <c r="M284" s="14">
        <v>4896</v>
      </c>
    </row>
    <row r="285" spans="1:13" x14ac:dyDescent="0.3">
      <c r="A285" s="13" t="s">
        <v>1297</v>
      </c>
      <c r="B285" s="8" t="s">
        <v>113</v>
      </c>
      <c r="C285" s="8" t="s">
        <v>114</v>
      </c>
      <c r="D285" s="8" t="s">
        <v>736</v>
      </c>
      <c r="E285" s="8" t="s">
        <v>481</v>
      </c>
      <c r="F285" s="8" t="s">
        <v>203</v>
      </c>
      <c r="G285" s="8" t="s">
        <v>264</v>
      </c>
      <c r="H285" s="8" t="s">
        <v>282</v>
      </c>
      <c r="I285" s="8" t="s">
        <v>1298</v>
      </c>
      <c r="J285" s="8" t="s">
        <v>1299</v>
      </c>
      <c r="K285" s="8"/>
      <c r="L285" s="8">
        <v>2500</v>
      </c>
      <c r="M285" s="15">
        <v>0</v>
      </c>
    </row>
    <row r="286" spans="1:13" x14ac:dyDescent="0.3">
      <c r="A286" s="12" t="s">
        <v>1300</v>
      </c>
      <c r="B286" s="5" t="s">
        <v>140</v>
      </c>
      <c r="C286" s="5" t="s">
        <v>141</v>
      </c>
      <c r="D286" s="5" t="s">
        <v>389</v>
      </c>
      <c r="E286" s="5" t="s">
        <v>335</v>
      </c>
      <c r="F286" s="5" t="s">
        <v>172</v>
      </c>
      <c r="G286" s="5" t="s">
        <v>237</v>
      </c>
      <c r="H286" s="5" t="s">
        <v>251</v>
      </c>
      <c r="I286" s="5" t="s">
        <v>1301</v>
      </c>
      <c r="J286" s="5" t="s">
        <v>1302</v>
      </c>
      <c r="K286" s="5"/>
      <c r="L286" s="5">
        <v>1000</v>
      </c>
      <c r="M286" s="14">
        <v>620</v>
      </c>
    </row>
    <row r="287" spans="1:13" x14ac:dyDescent="0.3">
      <c r="A287" s="13" t="s">
        <v>1303</v>
      </c>
      <c r="B287" s="8" t="s">
        <v>129</v>
      </c>
      <c r="C287" s="8" t="s">
        <v>130</v>
      </c>
      <c r="D287" s="8" t="s">
        <v>782</v>
      </c>
      <c r="E287" s="8" t="s">
        <v>150</v>
      </c>
      <c r="F287" s="8" t="s">
        <v>180</v>
      </c>
      <c r="G287" s="8" t="s">
        <v>364</v>
      </c>
      <c r="H287" s="8" t="s">
        <v>356</v>
      </c>
      <c r="I287" s="8" t="s">
        <v>1304</v>
      </c>
      <c r="J287" s="8" t="s">
        <v>100</v>
      </c>
      <c r="K287" s="8" t="s">
        <v>246</v>
      </c>
      <c r="L287" s="8">
        <v>6000</v>
      </c>
      <c r="M287" s="15">
        <v>8191</v>
      </c>
    </row>
    <row r="288" spans="1:13" x14ac:dyDescent="0.3">
      <c r="A288" s="12" t="s">
        <v>1305</v>
      </c>
      <c r="B288" s="5" t="s">
        <v>86</v>
      </c>
      <c r="C288" s="5" t="s">
        <v>87</v>
      </c>
      <c r="D288" s="5" t="s">
        <v>1306</v>
      </c>
      <c r="E288" s="5" t="s">
        <v>177</v>
      </c>
      <c r="F288" s="5" t="s">
        <v>169</v>
      </c>
      <c r="G288" s="5" t="s">
        <v>364</v>
      </c>
      <c r="H288" s="5" t="s">
        <v>365</v>
      </c>
      <c r="I288" s="5" t="s">
        <v>988</v>
      </c>
      <c r="J288" s="5" t="s">
        <v>1307</v>
      </c>
      <c r="K288" s="5" t="s">
        <v>753</v>
      </c>
      <c r="L288" s="5">
        <v>2000</v>
      </c>
      <c r="M288" s="14">
        <v>1434</v>
      </c>
    </row>
    <row r="289" spans="1:13" x14ac:dyDescent="0.3">
      <c r="A289" s="13" t="s">
        <v>1308</v>
      </c>
      <c r="B289" s="8" t="s">
        <v>109</v>
      </c>
      <c r="C289" s="8" t="s">
        <v>110</v>
      </c>
      <c r="D289" s="8" t="s">
        <v>1309</v>
      </c>
      <c r="E289" s="8" t="s">
        <v>329</v>
      </c>
      <c r="F289" s="8" t="s">
        <v>172</v>
      </c>
      <c r="G289" s="8" t="s">
        <v>257</v>
      </c>
      <c r="H289" s="8" t="s">
        <v>238</v>
      </c>
      <c r="I289" s="8" t="s">
        <v>436</v>
      </c>
      <c r="J289" s="8" t="s">
        <v>982</v>
      </c>
      <c r="K289" s="8" t="s">
        <v>387</v>
      </c>
      <c r="L289" s="8">
        <v>2500</v>
      </c>
      <c r="M289" s="15">
        <v>2532</v>
      </c>
    </row>
    <row r="290" spans="1:13" x14ac:dyDescent="0.3">
      <c r="A290" s="12" t="s">
        <v>1310</v>
      </c>
      <c r="B290" s="5" t="s">
        <v>96</v>
      </c>
      <c r="C290" s="5" t="s">
        <v>97</v>
      </c>
      <c r="D290" s="5" t="s">
        <v>1009</v>
      </c>
      <c r="E290" s="5" t="s">
        <v>349</v>
      </c>
      <c r="F290" s="5" t="s">
        <v>205</v>
      </c>
      <c r="G290" s="5" t="s">
        <v>264</v>
      </c>
      <c r="H290" s="5" t="s">
        <v>314</v>
      </c>
      <c r="I290" s="5" t="s">
        <v>1311</v>
      </c>
      <c r="J290" s="5" t="s">
        <v>1271</v>
      </c>
      <c r="K290" s="5" t="s">
        <v>1272</v>
      </c>
      <c r="L290" s="5">
        <v>4000</v>
      </c>
      <c r="M290" s="14">
        <v>3867</v>
      </c>
    </row>
    <row r="291" spans="1:13" x14ac:dyDescent="0.3">
      <c r="A291" s="13" t="s">
        <v>1312</v>
      </c>
      <c r="B291" s="8" t="s">
        <v>118</v>
      </c>
      <c r="C291" s="8" t="s">
        <v>119</v>
      </c>
      <c r="D291" s="8" t="s">
        <v>1313</v>
      </c>
      <c r="E291" s="8" t="s">
        <v>533</v>
      </c>
      <c r="F291" s="8" t="s">
        <v>205</v>
      </c>
      <c r="G291" s="8" t="s">
        <v>301</v>
      </c>
      <c r="H291" s="8" t="s">
        <v>287</v>
      </c>
      <c r="I291" s="8" t="s">
        <v>934</v>
      </c>
      <c r="J291" s="8" t="s">
        <v>1314</v>
      </c>
      <c r="K291" s="8"/>
      <c r="L291" s="8">
        <v>2500</v>
      </c>
      <c r="M291" s="15">
        <v>1249</v>
      </c>
    </row>
    <row r="292" spans="1:13" x14ac:dyDescent="0.3">
      <c r="A292" s="12" t="s">
        <v>1315</v>
      </c>
      <c r="B292" s="5" t="s">
        <v>122</v>
      </c>
      <c r="C292" s="5" t="s">
        <v>123</v>
      </c>
      <c r="D292" s="5" t="s">
        <v>1316</v>
      </c>
      <c r="E292" s="5" t="s">
        <v>335</v>
      </c>
      <c r="F292" s="5" t="s">
        <v>186</v>
      </c>
      <c r="G292" s="5" t="s">
        <v>301</v>
      </c>
      <c r="H292" s="5" t="s">
        <v>258</v>
      </c>
      <c r="I292" s="5" t="s">
        <v>450</v>
      </c>
      <c r="J292" s="5" t="s">
        <v>1317</v>
      </c>
      <c r="K292" s="5" t="s">
        <v>1318</v>
      </c>
      <c r="L292" s="5">
        <v>8000</v>
      </c>
      <c r="M292" s="14">
        <v>11105</v>
      </c>
    </row>
    <row r="293" spans="1:13" x14ac:dyDescent="0.3">
      <c r="A293" s="13" t="s">
        <v>1319</v>
      </c>
      <c r="B293" s="8" t="s">
        <v>81</v>
      </c>
      <c r="C293" s="8" t="s">
        <v>82</v>
      </c>
      <c r="D293" s="8" t="s">
        <v>885</v>
      </c>
      <c r="E293" s="8" t="s">
        <v>424</v>
      </c>
      <c r="F293" s="8" t="s">
        <v>216</v>
      </c>
      <c r="G293" s="8" t="s">
        <v>264</v>
      </c>
      <c r="H293" s="8" t="s">
        <v>356</v>
      </c>
      <c r="I293" s="8" t="s">
        <v>1037</v>
      </c>
      <c r="J293" s="8" t="s">
        <v>1006</v>
      </c>
      <c r="K293" s="8" t="s">
        <v>1320</v>
      </c>
      <c r="L293" s="8">
        <v>1500</v>
      </c>
      <c r="M293" s="15">
        <v>1984</v>
      </c>
    </row>
    <row r="294" spans="1:13" x14ac:dyDescent="0.3">
      <c r="A294" s="12" t="s">
        <v>1196</v>
      </c>
      <c r="B294" s="5" t="s">
        <v>101</v>
      </c>
      <c r="C294" s="5" t="s">
        <v>102</v>
      </c>
      <c r="D294" s="5" t="s">
        <v>1197</v>
      </c>
      <c r="E294" s="5" t="s">
        <v>292</v>
      </c>
      <c r="F294" s="5" t="s">
        <v>1198</v>
      </c>
      <c r="G294" s="5" t="s">
        <v>257</v>
      </c>
      <c r="H294" s="5" t="s">
        <v>238</v>
      </c>
      <c r="I294" s="5" t="s">
        <v>948</v>
      </c>
      <c r="J294" s="5" t="s">
        <v>833</v>
      </c>
      <c r="K294" s="5" t="s">
        <v>1199</v>
      </c>
      <c r="L294" s="5">
        <v>4000</v>
      </c>
      <c r="M294" s="14">
        <v>5388</v>
      </c>
    </row>
    <row r="295" spans="1:13" x14ac:dyDescent="0.3">
      <c r="A295" s="13" t="s">
        <v>1321</v>
      </c>
      <c r="B295" s="8" t="s">
        <v>126</v>
      </c>
      <c r="C295" s="8" t="s">
        <v>127</v>
      </c>
      <c r="D295" s="8" t="s">
        <v>915</v>
      </c>
      <c r="E295" s="8" t="s">
        <v>307</v>
      </c>
      <c r="F295" s="8" t="s">
        <v>183</v>
      </c>
      <c r="G295" s="8" t="s">
        <v>364</v>
      </c>
      <c r="H295" s="8" t="s">
        <v>238</v>
      </c>
      <c r="I295" s="8" t="s">
        <v>112</v>
      </c>
      <c r="J295" s="8" t="s">
        <v>1322</v>
      </c>
      <c r="K295" s="8" t="s">
        <v>1323</v>
      </c>
      <c r="L295" s="8">
        <v>1500</v>
      </c>
      <c r="M295" s="15">
        <v>1349</v>
      </c>
    </row>
    <row r="296" spans="1:13" x14ac:dyDescent="0.3">
      <c r="A296" s="12" t="s">
        <v>1324</v>
      </c>
      <c r="B296" s="5" t="s">
        <v>118</v>
      </c>
      <c r="C296" s="5" t="s">
        <v>119</v>
      </c>
      <c r="D296" s="5" t="s">
        <v>429</v>
      </c>
      <c r="E296" s="5" t="s">
        <v>249</v>
      </c>
      <c r="F296" s="5" t="s">
        <v>149</v>
      </c>
      <c r="G296" s="5" t="s">
        <v>350</v>
      </c>
      <c r="H296" s="5" t="s">
        <v>269</v>
      </c>
      <c r="I296" s="5" t="s">
        <v>1299</v>
      </c>
      <c r="J296" s="5" t="s">
        <v>1292</v>
      </c>
      <c r="K296" s="5" t="s">
        <v>1292</v>
      </c>
      <c r="L296" s="5">
        <v>2000</v>
      </c>
      <c r="M296" s="14">
        <v>2018</v>
      </c>
    </row>
    <row r="297" spans="1:13" x14ac:dyDescent="0.3">
      <c r="A297" s="13" t="s">
        <v>1325</v>
      </c>
      <c r="B297" s="8" t="s">
        <v>136</v>
      </c>
      <c r="C297" s="8" t="s">
        <v>137</v>
      </c>
      <c r="D297" s="8" t="s">
        <v>985</v>
      </c>
      <c r="E297" s="8" t="s">
        <v>424</v>
      </c>
      <c r="F297" s="8" t="s">
        <v>183</v>
      </c>
      <c r="G297" s="8" t="s">
        <v>275</v>
      </c>
      <c r="H297" s="8" t="s">
        <v>319</v>
      </c>
      <c r="I297" s="8" t="s">
        <v>1326</v>
      </c>
      <c r="J297" s="8" t="s">
        <v>1327</v>
      </c>
      <c r="K297" s="8"/>
      <c r="L297" s="8">
        <v>3000</v>
      </c>
      <c r="M297" s="15">
        <v>2385</v>
      </c>
    </row>
    <row r="298" spans="1:13" x14ac:dyDescent="0.3">
      <c r="A298" s="12" t="s">
        <v>1328</v>
      </c>
      <c r="B298" s="5" t="s">
        <v>113</v>
      </c>
      <c r="C298" s="5" t="s">
        <v>114</v>
      </c>
      <c r="D298" s="5" t="s">
        <v>857</v>
      </c>
      <c r="E298" s="5" t="s">
        <v>335</v>
      </c>
      <c r="F298" s="5" t="s">
        <v>155</v>
      </c>
      <c r="G298" s="5" t="s">
        <v>281</v>
      </c>
      <c r="H298" s="5" t="s">
        <v>365</v>
      </c>
      <c r="I298" s="5" t="s">
        <v>1329</v>
      </c>
      <c r="J298" s="5" t="s">
        <v>1330</v>
      </c>
      <c r="K298" s="5" t="s">
        <v>1051</v>
      </c>
      <c r="L298" s="5">
        <v>5000</v>
      </c>
      <c r="M298" s="14">
        <v>6722</v>
      </c>
    </row>
    <row r="299" spans="1:13" x14ac:dyDescent="0.3">
      <c r="A299" s="13" t="s">
        <v>1331</v>
      </c>
      <c r="B299" s="8" t="s">
        <v>105</v>
      </c>
      <c r="C299" s="8" t="s">
        <v>106</v>
      </c>
      <c r="D299" s="8" t="s">
        <v>1332</v>
      </c>
      <c r="E299" s="8" t="s">
        <v>164</v>
      </c>
      <c r="F299" s="8" t="s">
        <v>193</v>
      </c>
      <c r="G299" s="8" t="s">
        <v>301</v>
      </c>
      <c r="H299" s="8" t="s">
        <v>302</v>
      </c>
      <c r="I299" s="8" t="s">
        <v>534</v>
      </c>
      <c r="J299" s="8" t="s">
        <v>1333</v>
      </c>
      <c r="K299" s="8"/>
      <c r="L299" s="8">
        <v>8000</v>
      </c>
      <c r="M299" s="15">
        <v>5320</v>
      </c>
    </row>
    <row r="300" spans="1:13" x14ac:dyDescent="0.3">
      <c r="A300" s="12" t="s">
        <v>1334</v>
      </c>
      <c r="B300" s="5" t="s">
        <v>129</v>
      </c>
      <c r="C300" s="5" t="s">
        <v>130</v>
      </c>
      <c r="D300" s="5" t="s">
        <v>1335</v>
      </c>
      <c r="E300" s="5" t="s">
        <v>410</v>
      </c>
      <c r="F300" s="5" t="s">
        <v>1336</v>
      </c>
      <c r="G300" s="5" t="s">
        <v>293</v>
      </c>
      <c r="H300" s="5" t="s">
        <v>324</v>
      </c>
      <c r="I300" s="5" t="s">
        <v>1337</v>
      </c>
      <c r="J300" s="5" t="s">
        <v>1338</v>
      </c>
      <c r="K300" s="5" t="s">
        <v>1339</v>
      </c>
      <c r="L300" s="5">
        <v>2500</v>
      </c>
      <c r="M300" s="14">
        <v>1754</v>
      </c>
    </row>
    <row r="301" spans="1:13" x14ac:dyDescent="0.3">
      <c r="A301" s="13" t="s">
        <v>1340</v>
      </c>
      <c r="B301" s="8" t="s">
        <v>91</v>
      </c>
      <c r="C301" s="8" t="s">
        <v>92</v>
      </c>
      <c r="D301" s="8" t="s">
        <v>1341</v>
      </c>
      <c r="E301" s="8" t="s">
        <v>300</v>
      </c>
      <c r="F301" s="8" t="s">
        <v>169</v>
      </c>
      <c r="G301" s="8" t="s">
        <v>250</v>
      </c>
      <c r="H301" s="8" t="s">
        <v>592</v>
      </c>
      <c r="I301" s="8" t="s">
        <v>332</v>
      </c>
      <c r="J301" s="8" t="s">
        <v>1342</v>
      </c>
      <c r="K301" s="8"/>
      <c r="L301" s="8">
        <v>4000</v>
      </c>
      <c r="M301" s="15">
        <v>0</v>
      </c>
    </row>
    <row r="302" spans="1:13" x14ac:dyDescent="0.3">
      <c r="A302" s="12" t="s">
        <v>1343</v>
      </c>
      <c r="B302" s="5" t="s">
        <v>91</v>
      </c>
      <c r="C302" s="5" t="s">
        <v>92</v>
      </c>
      <c r="D302" s="5" t="s">
        <v>1344</v>
      </c>
      <c r="E302" s="5" t="s">
        <v>236</v>
      </c>
      <c r="F302" s="5" t="s">
        <v>155</v>
      </c>
      <c r="G302" s="5" t="s">
        <v>293</v>
      </c>
      <c r="H302" s="5" t="s">
        <v>245</v>
      </c>
      <c r="I302" s="5" t="s">
        <v>1345</v>
      </c>
      <c r="J302" s="5" t="s">
        <v>1346</v>
      </c>
      <c r="K302" s="5"/>
      <c r="L302" s="5">
        <v>2000</v>
      </c>
      <c r="M302" s="14">
        <v>604</v>
      </c>
    </row>
    <row r="303" spans="1:13" x14ac:dyDescent="0.3">
      <c r="A303" s="13" t="s">
        <v>1347</v>
      </c>
      <c r="B303" s="8" t="s">
        <v>136</v>
      </c>
      <c r="C303" s="8" t="s">
        <v>137</v>
      </c>
      <c r="D303" s="8" t="s">
        <v>291</v>
      </c>
      <c r="E303" s="8" t="s">
        <v>249</v>
      </c>
      <c r="F303" s="8" t="s">
        <v>1348</v>
      </c>
      <c r="G303" s="8" t="s">
        <v>509</v>
      </c>
      <c r="H303" s="8" t="s">
        <v>365</v>
      </c>
      <c r="I303" s="8" t="s">
        <v>367</v>
      </c>
      <c r="J303" s="8" t="s">
        <v>316</v>
      </c>
      <c r="K303" s="8" t="s">
        <v>316</v>
      </c>
      <c r="L303" s="8">
        <v>2000</v>
      </c>
      <c r="M303" s="15">
        <v>1651</v>
      </c>
    </row>
    <row r="304" spans="1:13" x14ac:dyDescent="0.3">
      <c r="A304" s="12" t="s">
        <v>1349</v>
      </c>
      <c r="B304" s="5" t="s">
        <v>96</v>
      </c>
      <c r="C304" s="5" t="s">
        <v>97</v>
      </c>
      <c r="D304" s="5" t="s">
        <v>1350</v>
      </c>
      <c r="E304" s="5" t="s">
        <v>177</v>
      </c>
      <c r="F304" s="5" t="s">
        <v>874</v>
      </c>
      <c r="G304" s="5" t="s">
        <v>301</v>
      </c>
      <c r="H304" s="5" t="s">
        <v>251</v>
      </c>
      <c r="I304" s="5" t="s">
        <v>1351</v>
      </c>
      <c r="J304" s="5" t="s">
        <v>1352</v>
      </c>
      <c r="K304" s="5"/>
      <c r="L304" s="5">
        <v>5000</v>
      </c>
      <c r="M304" s="14">
        <v>3533</v>
      </c>
    </row>
    <row r="305" spans="1:13" x14ac:dyDescent="0.3">
      <c r="A305" s="13" t="s">
        <v>1353</v>
      </c>
      <c r="B305" s="8" t="s">
        <v>118</v>
      </c>
      <c r="C305" s="8" t="s">
        <v>119</v>
      </c>
      <c r="D305" s="8" t="s">
        <v>836</v>
      </c>
      <c r="E305" s="8" t="s">
        <v>249</v>
      </c>
      <c r="F305" s="8" t="s">
        <v>174</v>
      </c>
      <c r="G305" s="8" t="s">
        <v>281</v>
      </c>
      <c r="H305" s="8" t="s">
        <v>365</v>
      </c>
      <c r="I305" s="8" t="s">
        <v>1354</v>
      </c>
      <c r="J305" s="8" t="s">
        <v>1355</v>
      </c>
      <c r="K305" s="8" t="s">
        <v>1356</v>
      </c>
      <c r="L305" s="8">
        <v>10000</v>
      </c>
      <c r="M305" s="15">
        <v>12048</v>
      </c>
    </row>
    <row r="306" spans="1:13" x14ac:dyDescent="0.3">
      <c r="A306" s="12" t="s">
        <v>654</v>
      </c>
      <c r="B306" s="5" t="s">
        <v>91</v>
      </c>
      <c r="C306" s="5" t="s">
        <v>92</v>
      </c>
      <c r="D306" s="5" t="s">
        <v>263</v>
      </c>
      <c r="E306" s="5" t="s">
        <v>177</v>
      </c>
      <c r="F306" s="5" t="s">
        <v>222</v>
      </c>
      <c r="G306" s="5" t="s">
        <v>293</v>
      </c>
      <c r="H306" s="5" t="s">
        <v>251</v>
      </c>
      <c r="I306" s="5" t="s">
        <v>655</v>
      </c>
      <c r="J306" s="5" t="s">
        <v>656</v>
      </c>
      <c r="K306" s="5"/>
      <c r="L306" s="5">
        <v>2500</v>
      </c>
      <c r="M306" s="14">
        <v>1886</v>
      </c>
    </row>
    <row r="307" spans="1:13" x14ac:dyDescent="0.3">
      <c r="A307" s="13" t="s">
        <v>1357</v>
      </c>
      <c r="B307" s="8" t="s">
        <v>86</v>
      </c>
      <c r="C307" s="8" t="s">
        <v>87</v>
      </c>
      <c r="D307" s="8" t="s">
        <v>1090</v>
      </c>
      <c r="E307" s="8" t="s">
        <v>538</v>
      </c>
      <c r="F307" s="8" t="s">
        <v>205</v>
      </c>
      <c r="G307" s="8" t="s">
        <v>244</v>
      </c>
      <c r="H307" s="8" t="s">
        <v>245</v>
      </c>
      <c r="I307" s="8" t="s">
        <v>1358</v>
      </c>
      <c r="J307" s="8" t="s">
        <v>1359</v>
      </c>
      <c r="K307" s="8"/>
      <c r="L307" s="8">
        <v>3000</v>
      </c>
      <c r="M307" s="15">
        <v>2131</v>
      </c>
    </row>
    <row r="308" spans="1:13" x14ac:dyDescent="0.3">
      <c r="A308" s="12" t="s">
        <v>1360</v>
      </c>
      <c r="B308" s="5" t="s">
        <v>118</v>
      </c>
      <c r="C308" s="5" t="s">
        <v>119</v>
      </c>
      <c r="D308" s="5" t="s">
        <v>445</v>
      </c>
      <c r="E308" s="5" t="s">
        <v>164</v>
      </c>
      <c r="F308" s="5" t="s">
        <v>172</v>
      </c>
      <c r="G308" s="5" t="s">
        <v>275</v>
      </c>
      <c r="H308" s="5" t="s">
        <v>356</v>
      </c>
      <c r="I308" s="5" t="s">
        <v>1164</v>
      </c>
      <c r="J308" s="5" t="s">
        <v>277</v>
      </c>
      <c r="K308" s="5" t="s">
        <v>1361</v>
      </c>
      <c r="L308" s="5">
        <v>3000</v>
      </c>
      <c r="M308" s="14">
        <v>2708</v>
      </c>
    </row>
    <row r="309" spans="1:13" x14ac:dyDescent="0.3">
      <c r="A309" s="13" t="s">
        <v>1362</v>
      </c>
      <c r="B309" s="8" t="s">
        <v>91</v>
      </c>
      <c r="C309" s="8" t="s">
        <v>92</v>
      </c>
      <c r="D309" s="8" t="s">
        <v>1009</v>
      </c>
      <c r="E309" s="8" t="s">
        <v>405</v>
      </c>
      <c r="F309" s="8" t="s">
        <v>200</v>
      </c>
      <c r="G309" s="8" t="s">
        <v>264</v>
      </c>
      <c r="H309" s="8" t="s">
        <v>314</v>
      </c>
      <c r="I309" s="8" t="s">
        <v>1363</v>
      </c>
      <c r="J309" s="8" t="s">
        <v>1364</v>
      </c>
      <c r="K309" s="8" t="s">
        <v>1364</v>
      </c>
      <c r="L309" s="8">
        <v>1000</v>
      </c>
      <c r="M309" s="15">
        <v>842</v>
      </c>
    </row>
    <row r="310" spans="1:13" x14ac:dyDescent="0.3">
      <c r="A310" s="12" t="s">
        <v>1365</v>
      </c>
      <c r="B310" s="5" t="s">
        <v>133</v>
      </c>
      <c r="C310" s="5" t="s">
        <v>134</v>
      </c>
      <c r="D310" s="5" t="s">
        <v>1366</v>
      </c>
      <c r="E310" s="5" t="s">
        <v>219</v>
      </c>
      <c r="F310" s="5" t="s">
        <v>222</v>
      </c>
      <c r="G310" s="5" t="s">
        <v>257</v>
      </c>
      <c r="H310" s="5" t="s">
        <v>314</v>
      </c>
      <c r="I310" s="5" t="s">
        <v>1326</v>
      </c>
      <c r="J310" s="5" t="s">
        <v>1367</v>
      </c>
      <c r="K310" s="5" t="s">
        <v>1368</v>
      </c>
      <c r="L310" s="5">
        <v>2500</v>
      </c>
      <c r="M310" s="14">
        <v>2217</v>
      </c>
    </row>
    <row r="311" spans="1:13" x14ac:dyDescent="0.3">
      <c r="A311" s="13" t="s">
        <v>1369</v>
      </c>
      <c r="B311" s="8" t="s">
        <v>96</v>
      </c>
      <c r="C311" s="8" t="s">
        <v>97</v>
      </c>
      <c r="D311" s="8" t="s">
        <v>1370</v>
      </c>
      <c r="E311" s="8" t="s">
        <v>481</v>
      </c>
      <c r="F311" s="8" t="s">
        <v>190</v>
      </c>
      <c r="G311" s="8" t="s">
        <v>301</v>
      </c>
      <c r="H311" s="8" t="s">
        <v>287</v>
      </c>
      <c r="I311" s="8" t="s">
        <v>1371</v>
      </c>
      <c r="J311" s="8" t="s">
        <v>1372</v>
      </c>
      <c r="K311" s="8"/>
      <c r="L311" s="8">
        <v>10000</v>
      </c>
      <c r="M311" s="15">
        <v>6559</v>
      </c>
    </row>
    <row r="312" spans="1:13" x14ac:dyDescent="0.3">
      <c r="A312" s="12" t="s">
        <v>1373</v>
      </c>
      <c r="B312" s="5" t="s">
        <v>109</v>
      </c>
      <c r="C312" s="5" t="s">
        <v>110</v>
      </c>
      <c r="D312" s="5" t="s">
        <v>1374</v>
      </c>
      <c r="E312" s="5" t="s">
        <v>206</v>
      </c>
      <c r="F312" s="5"/>
      <c r="G312" s="5" t="s">
        <v>275</v>
      </c>
      <c r="H312" s="5" t="s">
        <v>351</v>
      </c>
      <c r="I312" s="5" t="s">
        <v>1375</v>
      </c>
      <c r="J312" s="5" t="s">
        <v>1376</v>
      </c>
      <c r="K312" s="5"/>
      <c r="L312" s="5">
        <v>10000</v>
      </c>
      <c r="M312" s="14">
        <v>0</v>
      </c>
    </row>
    <row r="313" spans="1:13" x14ac:dyDescent="0.3">
      <c r="A313" s="13" t="s">
        <v>1377</v>
      </c>
      <c r="B313" s="8" t="s">
        <v>91</v>
      </c>
      <c r="C313" s="8" t="s">
        <v>92</v>
      </c>
      <c r="D313" s="8" t="s">
        <v>522</v>
      </c>
      <c r="E313" s="8" t="s">
        <v>439</v>
      </c>
      <c r="F313" s="8" t="s">
        <v>172</v>
      </c>
      <c r="G313" s="8" t="s">
        <v>318</v>
      </c>
      <c r="H313" s="8" t="s">
        <v>302</v>
      </c>
      <c r="I313" s="8" t="s">
        <v>1378</v>
      </c>
      <c r="J313" s="8" t="s">
        <v>270</v>
      </c>
      <c r="K313" s="8"/>
      <c r="L313" s="8">
        <v>6000</v>
      </c>
      <c r="M313" s="15">
        <v>1517</v>
      </c>
    </row>
    <row r="314" spans="1:13" x14ac:dyDescent="0.3">
      <c r="A314" s="12" t="s">
        <v>1379</v>
      </c>
      <c r="B314" s="5" t="s">
        <v>122</v>
      </c>
      <c r="C314" s="5" t="s">
        <v>123</v>
      </c>
      <c r="D314" s="5" t="s">
        <v>268</v>
      </c>
      <c r="E314" s="5" t="s">
        <v>335</v>
      </c>
      <c r="F314" s="5" t="s">
        <v>158</v>
      </c>
      <c r="G314" s="5" t="s">
        <v>301</v>
      </c>
      <c r="H314" s="5" t="s">
        <v>251</v>
      </c>
      <c r="I314" s="5" t="s">
        <v>585</v>
      </c>
      <c r="J314" s="5" t="s">
        <v>1380</v>
      </c>
      <c r="K314" s="5"/>
      <c r="L314" s="5">
        <v>1500</v>
      </c>
      <c r="M314" s="14">
        <v>814</v>
      </c>
    </row>
    <row r="315" spans="1:13" x14ac:dyDescent="0.3">
      <c r="A315" s="13" t="s">
        <v>1381</v>
      </c>
      <c r="B315" s="8" t="s">
        <v>96</v>
      </c>
      <c r="C315" s="8" t="s">
        <v>97</v>
      </c>
      <c r="D315" s="8" t="s">
        <v>286</v>
      </c>
      <c r="E315" s="8" t="s">
        <v>533</v>
      </c>
      <c r="F315" s="8" t="s">
        <v>180</v>
      </c>
      <c r="G315" s="8" t="s">
        <v>350</v>
      </c>
      <c r="H315" s="8" t="s">
        <v>245</v>
      </c>
      <c r="I315" s="8" t="s">
        <v>1382</v>
      </c>
      <c r="J315" s="8" t="s">
        <v>1383</v>
      </c>
      <c r="K315" s="8"/>
      <c r="L315" s="8">
        <v>2500</v>
      </c>
      <c r="M315" s="15">
        <v>1859</v>
      </c>
    </row>
    <row r="316" spans="1:13" x14ac:dyDescent="0.3">
      <c r="A316" s="12" t="s">
        <v>1384</v>
      </c>
      <c r="B316" s="5" t="s">
        <v>140</v>
      </c>
      <c r="C316" s="5" t="s">
        <v>141</v>
      </c>
      <c r="D316" s="5" t="s">
        <v>1110</v>
      </c>
      <c r="E316" s="5" t="s">
        <v>439</v>
      </c>
      <c r="F316" s="5" t="s">
        <v>193</v>
      </c>
      <c r="G316" s="5" t="s">
        <v>244</v>
      </c>
      <c r="H316" s="5" t="s">
        <v>269</v>
      </c>
      <c r="I316" s="5" t="s">
        <v>1385</v>
      </c>
      <c r="J316" s="5" t="s">
        <v>1386</v>
      </c>
      <c r="K316" s="5" t="s">
        <v>1386</v>
      </c>
      <c r="L316" s="5">
        <v>1500</v>
      </c>
      <c r="M316" s="14">
        <v>2034</v>
      </c>
    </row>
    <row r="317" spans="1:13" x14ac:dyDescent="0.3">
      <c r="A317" s="13" t="s">
        <v>1387</v>
      </c>
      <c r="B317" s="8" t="s">
        <v>129</v>
      </c>
      <c r="C317" s="8" t="s">
        <v>130</v>
      </c>
      <c r="D317" s="8" t="s">
        <v>578</v>
      </c>
      <c r="E317" s="8" t="s">
        <v>486</v>
      </c>
      <c r="F317" s="8" t="s">
        <v>163</v>
      </c>
      <c r="G317" s="8" t="s">
        <v>257</v>
      </c>
      <c r="H317" s="8" t="s">
        <v>294</v>
      </c>
      <c r="I317" s="8" t="s">
        <v>851</v>
      </c>
      <c r="J317" s="8" t="s">
        <v>1388</v>
      </c>
      <c r="K317" s="8" t="s">
        <v>406</v>
      </c>
      <c r="L317" s="8">
        <v>1000</v>
      </c>
      <c r="M317" s="15">
        <v>1387</v>
      </c>
    </row>
    <row r="318" spans="1:13" x14ac:dyDescent="0.3">
      <c r="A318" s="12" t="s">
        <v>1389</v>
      </c>
      <c r="B318" s="5" t="s">
        <v>140</v>
      </c>
      <c r="C318" s="5" t="s">
        <v>141</v>
      </c>
      <c r="D318" s="5" t="s">
        <v>1390</v>
      </c>
      <c r="E318" s="5" t="s">
        <v>197</v>
      </c>
      <c r="F318" s="5" t="s">
        <v>214</v>
      </c>
      <c r="G318" s="5" t="s">
        <v>509</v>
      </c>
      <c r="H318" s="5" t="s">
        <v>294</v>
      </c>
      <c r="I318" s="5" t="s">
        <v>1391</v>
      </c>
      <c r="J318" s="5" t="s">
        <v>1392</v>
      </c>
      <c r="K318" s="5" t="s">
        <v>336</v>
      </c>
      <c r="L318" s="5">
        <v>8000</v>
      </c>
      <c r="M318" s="14">
        <v>8176</v>
      </c>
    </row>
    <row r="319" spans="1:13" x14ac:dyDescent="0.3">
      <c r="A319" s="13" t="s">
        <v>1393</v>
      </c>
      <c r="B319" s="8" t="s">
        <v>86</v>
      </c>
      <c r="C319" s="8" t="s">
        <v>87</v>
      </c>
      <c r="D319" s="8" t="s">
        <v>1394</v>
      </c>
      <c r="E319" s="8" t="s">
        <v>467</v>
      </c>
      <c r="F319" s="8" t="s">
        <v>214</v>
      </c>
      <c r="G319" s="8" t="s">
        <v>350</v>
      </c>
      <c r="H319" s="8" t="s">
        <v>365</v>
      </c>
      <c r="I319" s="8" t="s">
        <v>1060</v>
      </c>
      <c r="J319" s="8" t="s">
        <v>1395</v>
      </c>
      <c r="K319" s="8" t="s">
        <v>1395</v>
      </c>
      <c r="L319" s="8">
        <v>2500</v>
      </c>
      <c r="M319" s="15"/>
    </row>
    <row r="320" spans="1:13" x14ac:dyDescent="0.3">
      <c r="A320" s="12" t="s">
        <v>1396</v>
      </c>
      <c r="B320" s="5" t="s">
        <v>81</v>
      </c>
      <c r="C320" s="5" t="s">
        <v>82</v>
      </c>
      <c r="D320" s="5" t="s">
        <v>1397</v>
      </c>
      <c r="E320" s="5" t="s">
        <v>219</v>
      </c>
      <c r="F320" s="5" t="s">
        <v>874</v>
      </c>
      <c r="G320" s="5" t="s">
        <v>293</v>
      </c>
      <c r="H320" s="5" t="s">
        <v>245</v>
      </c>
      <c r="I320" s="5" t="s">
        <v>1398</v>
      </c>
      <c r="J320" s="5" t="s">
        <v>1399</v>
      </c>
      <c r="K320" s="5"/>
      <c r="L320" s="5">
        <v>2000</v>
      </c>
      <c r="M320" s="14">
        <v>734</v>
      </c>
    </row>
    <row r="321" spans="1:13" x14ac:dyDescent="0.3">
      <c r="A321" s="13" t="s">
        <v>1400</v>
      </c>
      <c r="B321" s="8" t="s">
        <v>105</v>
      </c>
      <c r="C321" s="8" t="s">
        <v>106</v>
      </c>
      <c r="D321" s="8" t="s">
        <v>1023</v>
      </c>
      <c r="E321" s="8" t="s">
        <v>329</v>
      </c>
      <c r="F321" s="8" t="s">
        <v>218</v>
      </c>
      <c r="G321" s="8" t="s">
        <v>301</v>
      </c>
      <c r="H321" s="8" t="s">
        <v>430</v>
      </c>
      <c r="I321" s="8" t="s">
        <v>1068</v>
      </c>
      <c r="J321" s="8" t="s">
        <v>1250</v>
      </c>
      <c r="K321" s="8"/>
      <c r="L321" s="8">
        <v>2500</v>
      </c>
      <c r="M321" s="15">
        <v>0</v>
      </c>
    </row>
    <row r="322" spans="1:13" x14ac:dyDescent="0.3">
      <c r="A322" s="12" t="s">
        <v>1401</v>
      </c>
      <c r="B322" s="5" t="s">
        <v>122</v>
      </c>
      <c r="C322" s="5" t="s">
        <v>123</v>
      </c>
      <c r="D322" s="5" t="s">
        <v>1402</v>
      </c>
      <c r="E322" s="5" t="s">
        <v>313</v>
      </c>
      <c r="F322" s="5" t="s">
        <v>176</v>
      </c>
      <c r="G322" s="5" t="s">
        <v>275</v>
      </c>
      <c r="H322" s="5" t="s">
        <v>294</v>
      </c>
      <c r="I322" s="5" t="s">
        <v>1403</v>
      </c>
      <c r="J322" s="5" t="s">
        <v>1075</v>
      </c>
      <c r="K322" s="5" t="s">
        <v>1075</v>
      </c>
      <c r="L322" s="5">
        <v>3000</v>
      </c>
      <c r="M322" s="14">
        <v>2478</v>
      </c>
    </row>
    <row r="323" spans="1:13" x14ac:dyDescent="0.3">
      <c r="A323" s="13" t="s">
        <v>1404</v>
      </c>
      <c r="B323" s="8" t="s">
        <v>91</v>
      </c>
      <c r="C323" s="8" t="s">
        <v>92</v>
      </c>
      <c r="D323" s="8" t="s">
        <v>1405</v>
      </c>
      <c r="E323" s="8" t="s">
        <v>405</v>
      </c>
      <c r="F323" s="8" t="s">
        <v>1406</v>
      </c>
      <c r="G323" s="8" t="s">
        <v>275</v>
      </c>
      <c r="H323" s="8" t="s">
        <v>487</v>
      </c>
      <c r="I323" s="8" t="s">
        <v>1106</v>
      </c>
      <c r="J323" s="8" t="s">
        <v>1407</v>
      </c>
      <c r="K323" s="8" t="s">
        <v>567</v>
      </c>
      <c r="L323" s="8">
        <v>6000</v>
      </c>
      <c r="M323" s="15">
        <v>8019</v>
      </c>
    </row>
    <row r="324" spans="1:13" x14ac:dyDescent="0.3">
      <c r="A324" s="12" t="s">
        <v>1408</v>
      </c>
      <c r="B324" s="5" t="s">
        <v>140</v>
      </c>
      <c r="C324" s="5" t="s">
        <v>141</v>
      </c>
      <c r="D324" s="5" t="s">
        <v>686</v>
      </c>
      <c r="E324" s="5" t="s">
        <v>486</v>
      </c>
      <c r="F324" s="5" t="s">
        <v>216</v>
      </c>
      <c r="G324" s="5" t="s">
        <v>509</v>
      </c>
      <c r="H324" s="5" t="s">
        <v>245</v>
      </c>
      <c r="I324" s="5" t="s">
        <v>1409</v>
      </c>
      <c r="J324" s="5" t="s">
        <v>1410</v>
      </c>
      <c r="K324" s="5"/>
      <c r="L324" s="5">
        <v>2500</v>
      </c>
      <c r="M324" s="14">
        <v>1721</v>
      </c>
    </row>
    <row r="325" spans="1:13" x14ac:dyDescent="0.3">
      <c r="A325" s="13" t="s">
        <v>1411</v>
      </c>
      <c r="B325" s="8" t="s">
        <v>109</v>
      </c>
      <c r="C325" s="8" t="s">
        <v>110</v>
      </c>
      <c r="D325" s="8" t="s">
        <v>1023</v>
      </c>
      <c r="E325" s="8" t="s">
        <v>177</v>
      </c>
      <c r="F325" s="8" t="s">
        <v>183</v>
      </c>
      <c r="G325" s="8" t="s">
        <v>250</v>
      </c>
      <c r="H325" s="8" t="s">
        <v>245</v>
      </c>
      <c r="I325" s="8" t="s">
        <v>1412</v>
      </c>
      <c r="J325" s="8" t="s">
        <v>1413</v>
      </c>
      <c r="K325" s="8"/>
      <c r="L325" s="8">
        <v>10000</v>
      </c>
      <c r="M325" s="15">
        <v>6223</v>
      </c>
    </row>
    <row r="326" spans="1:13" x14ac:dyDescent="0.3">
      <c r="A326" s="12" t="s">
        <v>1414</v>
      </c>
      <c r="B326" s="5" t="s">
        <v>96</v>
      </c>
      <c r="C326" s="5" t="s">
        <v>97</v>
      </c>
      <c r="D326" s="5" t="s">
        <v>1415</v>
      </c>
      <c r="E326" s="5" t="s">
        <v>706</v>
      </c>
      <c r="F326" s="5" t="s">
        <v>214</v>
      </c>
      <c r="G326" s="5" t="s">
        <v>509</v>
      </c>
      <c r="H326" s="5" t="s">
        <v>319</v>
      </c>
      <c r="I326" s="5" t="s">
        <v>1416</v>
      </c>
      <c r="J326" s="5" t="s">
        <v>1417</v>
      </c>
      <c r="K326" s="5"/>
      <c r="L326" s="5">
        <v>5000</v>
      </c>
      <c r="M326" s="14">
        <v>1387</v>
      </c>
    </row>
    <row r="327" spans="1:13" x14ac:dyDescent="0.3">
      <c r="A327" s="13" t="s">
        <v>1418</v>
      </c>
      <c r="B327" s="8" t="s">
        <v>81</v>
      </c>
      <c r="C327" s="8" t="s">
        <v>82</v>
      </c>
      <c r="D327" s="8" t="s">
        <v>1419</v>
      </c>
      <c r="E327" s="8" t="s">
        <v>706</v>
      </c>
      <c r="F327" s="8" t="s">
        <v>212</v>
      </c>
      <c r="G327" s="8" t="s">
        <v>244</v>
      </c>
      <c r="H327" s="8" t="s">
        <v>430</v>
      </c>
      <c r="I327" s="8" t="s">
        <v>1420</v>
      </c>
      <c r="J327" s="8" t="s">
        <v>1421</v>
      </c>
      <c r="K327" s="8"/>
      <c r="L327" s="8">
        <v>1500</v>
      </c>
      <c r="M327" s="15">
        <v>0</v>
      </c>
    </row>
    <row r="328" spans="1:13" x14ac:dyDescent="0.3">
      <c r="A328" s="12" t="s">
        <v>1422</v>
      </c>
      <c r="B328" s="5" t="s">
        <v>113</v>
      </c>
      <c r="C328" s="5" t="s">
        <v>114</v>
      </c>
      <c r="D328" s="5" t="s">
        <v>274</v>
      </c>
      <c r="E328" s="5" t="s">
        <v>538</v>
      </c>
      <c r="F328" s="5" t="s">
        <v>190</v>
      </c>
      <c r="G328" s="5" t="s">
        <v>293</v>
      </c>
      <c r="H328" s="5" t="s">
        <v>324</v>
      </c>
      <c r="I328" s="5" t="s">
        <v>1235</v>
      </c>
      <c r="J328" s="5" t="s">
        <v>1216</v>
      </c>
      <c r="K328" s="5" t="s">
        <v>1423</v>
      </c>
      <c r="L328" s="5">
        <v>4000</v>
      </c>
      <c r="M328" s="14">
        <v>3786</v>
      </c>
    </row>
    <row r="329" spans="1:13" x14ac:dyDescent="0.3">
      <c r="A329" s="13" t="s">
        <v>1424</v>
      </c>
      <c r="B329" s="8" t="s">
        <v>126</v>
      </c>
      <c r="C329" s="8" t="s">
        <v>127</v>
      </c>
      <c r="D329" s="8" t="s">
        <v>1425</v>
      </c>
      <c r="E329" s="8" t="s">
        <v>292</v>
      </c>
      <c r="F329" s="8" t="s">
        <v>218</v>
      </c>
      <c r="G329" s="8" t="s">
        <v>244</v>
      </c>
      <c r="H329" s="8" t="s">
        <v>324</v>
      </c>
      <c r="I329" s="8" t="s">
        <v>1426</v>
      </c>
      <c r="J329" s="8" t="s">
        <v>675</v>
      </c>
      <c r="K329" s="8" t="s">
        <v>1014</v>
      </c>
      <c r="L329" s="8">
        <v>8000</v>
      </c>
      <c r="M329" s="15">
        <v>7859</v>
      </c>
    </row>
    <row r="330" spans="1:13" x14ac:dyDescent="0.3">
      <c r="A330" s="12" t="s">
        <v>1308</v>
      </c>
      <c r="B330" s="5" t="s">
        <v>109</v>
      </c>
      <c r="C330" s="5" t="s">
        <v>110</v>
      </c>
      <c r="D330" s="5" t="s">
        <v>1309</v>
      </c>
      <c r="E330" s="5" t="s">
        <v>329</v>
      </c>
      <c r="F330" s="5" t="s">
        <v>172</v>
      </c>
      <c r="G330" s="5" t="s">
        <v>257</v>
      </c>
      <c r="H330" s="5" t="s">
        <v>238</v>
      </c>
      <c r="I330" s="5" t="s">
        <v>436</v>
      </c>
      <c r="J330" s="5" t="s">
        <v>982</v>
      </c>
      <c r="K330" s="5" t="s">
        <v>387</v>
      </c>
      <c r="L330" s="5">
        <v>2500</v>
      </c>
      <c r="M330" s="14">
        <v>2532</v>
      </c>
    </row>
    <row r="331" spans="1:13" x14ac:dyDescent="0.3">
      <c r="A331" s="19" t="s">
        <v>1427</v>
      </c>
      <c r="B331" s="20" t="s">
        <v>105</v>
      </c>
      <c r="C331" s="20" t="s">
        <v>106</v>
      </c>
      <c r="D331" s="20" t="s">
        <v>612</v>
      </c>
      <c r="E331" s="20" t="s">
        <v>533</v>
      </c>
      <c r="F331" s="20" t="s">
        <v>216</v>
      </c>
      <c r="G331" s="20" t="s">
        <v>301</v>
      </c>
      <c r="H331" s="20" t="s">
        <v>324</v>
      </c>
      <c r="I331" s="20" t="s">
        <v>1428</v>
      </c>
      <c r="J331" s="20" t="s">
        <v>1429</v>
      </c>
      <c r="K331" s="20" t="s">
        <v>261</v>
      </c>
      <c r="L331" s="20">
        <v>4000</v>
      </c>
      <c r="M331" s="21">
        <v>4692</v>
      </c>
    </row>
    <row r="333" spans="1:13" x14ac:dyDescent="0.3">
      <c r="A333" s="28" t="s">
        <v>1430</v>
      </c>
      <c r="B333" s="28"/>
      <c r="C333" s="28"/>
      <c r="D333" s="28"/>
      <c r="E333" s="28"/>
      <c r="F333" s="28"/>
      <c r="G333" s="28"/>
      <c r="H333" s="28"/>
    </row>
  </sheetData>
  <mergeCells count="1">
    <mergeCell ref="A333:H333"/>
  </mergeCells>
  <pageMargins left="0.75" right="0.75" top="1" bottom="1" header="0.511811023622047" footer="0.511811023622047"/>
  <pageSetup paperSize="9" orientation="portrait" horizontalDpi="300" verticalDpi="300"/>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2"/>
  <sheetViews>
    <sheetView showGridLines="0" zoomScaleNormal="100" workbookViewId="0"/>
  </sheetViews>
  <sheetFormatPr defaultColWidth="8.6640625" defaultRowHeight="14.4" x14ac:dyDescent="0.3"/>
  <sheetData>
    <row r="2" spans="2:2" ht="15.6" x14ac:dyDescent="0.3">
      <c r="B2" s="11" t="s">
        <v>1431</v>
      </c>
    </row>
  </sheetData>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K72"/>
  <sheetViews>
    <sheetView showGridLines="0" topLeftCell="A53" zoomScale="95" zoomScaleNormal="100" workbookViewId="0">
      <selection activeCell="D66" sqref="D66"/>
    </sheetView>
  </sheetViews>
  <sheetFormatPr defaultColWidth="8.6640625" defaultRowHeight="14.4" x14ac:dyDescent="0.3"/>
  <cols>
    <col min="1" max="1" width="23.77734375" bestFit="1" customWidth="1"/>
    <col min="2" max="2" width="16.33203125" bestFit="1" customWidth="1"/>
    <col min="3" max="3" width="15" bestFit="1" customWidth="1"/>
    <col min="4" max="4" width="14.21875" bestFit="1" customWidth="1"/>
    <col min="5" max="5" width="22.44140625" bestFit="1" customWidth="1"/>
    <col min="6" max="6" width="16.33203125" bestFit="1" customWidth="1"/>
    <col min="7" max="7" width="15" bestFit="1" customWidth="1"/>
    <col min="8" max="8" width="14.21875" bestFit="1" customWidth="1"/>
    <col min="9" max="9" width="22.44140625" bestFit="1" customWidth="1"/>
    <col min="10" max="10" width="16.33203125" bestFit="1" customWidth="1"/>
    <col min="11" max="11" width="15" bestFit="1" customWidth="1"/>
    <col min="12" max="12" width="14.21875" bestFit="1" customWidth="1"/>
    <col min="13" max="13" width="22.44140625" bestFit="1" customWidth="1"/>
    <col min="14" max="14" width="16.33203125" bestFit="1" customWidth="1"/>
    <col min="15" max="15" width="15" bestFit="1" customWidth="1"/>
    <col min="16" max="16" width="14.21875" bestFit="1" customWidth="1"/>
    <col min="17" max="17" width="22.44140625" bestFit="1" customWidth="1"/>
    <col min="18" max="18" width="16.33203125" bestFit="1" customWidth="1"/>
    <col min="19" max="19" width="15" bestFit="1" customWidth="1"/>
    <col min="20" max="20" width="14.21875" bestFit="1" customWidth="1"/>
    <col min="21" max="21" width="22.44140625" bestFit="1" customWidth="1"/>
    <col min="22" max="22" width="16.33203125" bestFit="1" customWidth="1"/>
    <col min="23" max="23" width="15" bestFit="1" customWidth="1"/>
    <col min="24" max="24" width="14.21875" bestFit="1" customWidth="1"/>
    <col min="25" max="25" width="22.44140625" bestFit="1" customWidth="1"/>
    <col min="26" max="26" width="16.33203125" bestFit="1" customWidth="1"/>
    <col min="27" max="27" width="15" bestFit="1" customWidth="1"/>
    <col min="28" max="28" width="14.21875" bestFit="1" customWidth="1"/>
    <col min="29" max="29" width="22.44140625" bestFit="1" customWidth="1"/>
    <col min="30" max="30" width="16.33203125" bestFit="1" customWidth="1"/>
    <col min="31" max="31" width="15" bestFit="1" customWidth="1"/>
    <col min="32" max="32" width="14.21875" bestFit="1" customWidth="1"/>
    <col min="33" max="33" width="22.44140625" bestFit="1" customWidth="1"/>
    <col min="34" max="34" width="21.109375" bestFit="1" customWidth="1"/>
    <col min="35" max="35" width="19.77734375" bestFit="1" customWidth="1"/>
    <col min="36" max="36" width="19" bestFit="1" customWidth="1"/>
    <col min="37" max="37" width="27.21875" bestFit="1" customWidth="1"/>
  </cols>
  <sheetData>
    <row r="1" spans="1:3" x14ac:dyDescent="0.3">
      <c r="A1" s="32" t="s">
        <v>1464</v>
      </c>
      <c r="B1" s="34" t="s">
        <v>1466</v>
      </c>
      <c r="C1" t="s">
        <v>1467</v>
      </c>
    </row>
    <row r="2" spans="1:3" x14ac:dyDescent="0.3">
      <c r="A2" s="33" t="s">
        <v>134</v>
      </c>
      <c r="B2" s="34">
        <v>70000</v>
      </c>
      <c r="C2" s="34">
        <v>48164</v>
      </c>
    </row>
    <row r="3" spans="1:3" x14ac:dyDescent="0.3">
      <c r="A3" s="33" t="s">
        <v>130</v>
      </c>
      <c r="B3" s="34">
        <v>66000</v>
      </c>
      <c r="C3" s="34">
        <v>49405</v>
      </c>
    </row>
    <row r="4" spans="1:3" x14ac:dyDescent="0.3">
      <c r="A4" s="33" t="s">
        <v>106</v>
      </c>
      <c r="B4" s="34">
        <v>109500</v>
      </c>
      <c r="C4" s="34">
        <v>73502</v>
      </c>
    </row>
    <row r="5" spans="1:3" x14ac:dyDescent="0.3">
      <c r="A5" s="33" t="s">
        <v>102</v>
      </c>
      <c r="B5" s="34">
        <v>85500</v>
      </c>
      <c r="C5" s="34">
        <v>65762</v>
      </c>
    </row>
    <row r="6" spans="1:3" x14ac:dyDescent="0.3">
      <c r="A6" s="33" t="s">
        <v>141</v>
      </c>
      <c r="B6" s="34">
        <v>90000</v>
      </c>
      <c r="C6" s="34">
        <v>74295</v>
      </c>
    </row>
    <row r="7" spans="1:3" x14ac:dyDescent="0.3">
      <c r="A7" s="33" t="s">
        <v>87</v>
      </c>
      <c r="B7" s="34">
        <v>97500</v>
      </c>
      <c r="C7" s="34">
        <v>71644</v>
      </c>
    </row>
    <row r="8" spans="1:3" x14ac:dyDescent="0.3">
      <c r="A8" s="33" t="s">
        <v>127</v>
      </c>
      <c r="B8" s="34">
        <v>112000</v>
      </c>
      <c r="C8" s="34">
        <v>74792</v>
      </c>
    </row>
    <row r="9" spans="1:3" x14ac:dyDescent="0.3">
      <c r="A9" s="33" t="s">
        <v>92</v>
      </c>
      <c r="B9" s="34">
        <v>106000</v>
      </c>
      <c r="C9" s="34">
        <v>90358</v>
      </c>
    </row>
    <row r="10" spans="1:3" x14ac:dyDescent="0.3">
      <c r="A10" s="33" t="s">
        <v>110</v>
      </c>
      <c r="B10" s="34">
        <v>110000</v>
      </c>
      <c r="C10" s="34">
        <v>65885</v>
      </c>
    </row>
    <row r="11" spans="1:3" x14ac:dyDescent="0.3">
      <c r="A11" s="33" t="s">
        <v>114</v>
      </c>
      <c r="B11" s="34">
        <v>93000</v>
      </c>
      <c r="C11" s="34">
        <v>74881</v>
      </c>
    </row>
    <row r="12" spans="1:3" x14ac:dyDescent="0.3">
      <c r="A12" s="33" t="s">
        <v>123</v>
      </c>
      <c r="B12" s="34">
        <v>85500</v>
      </c>
      <c r="C12" s="34">
        <v>46665</v>
      </c>
    </row>
    <row r="13" spans="1:3" x14ac:dyDescent="0.3">
      <c r="A13" s="33" t="s">
        <v>137</v>
      </c>
      <c r="B13" s="34">
        <v>93000</v>
      </c>
      <c r="C13" s="34">
        <v>58608</v>
      </c>
    </row>
    <row r="14" spans="1:3" x14ac:dyDescent="0.3">
      <c r="A14" s="33" t="s">
        <v>119</v>
      </c>
      <c r="B14" s="34">
        <v>74000</v>
      </c>
      <c r="C14" s="34">
        <v>53913</v>
      </c>
    </row>
    <row r="15" spans="1:3" x14ac:dyDescent="0.3">
      <c r="A15" s="33" t="s">
        <v>97</v>
      </c>
      <c r="B15" s="34">
        <v>78500</v>
      </c>
      <c r="C15" s="34">
        <v>67742</v>
      </c>
    </row>
    <row r="16" spans="1:3" x14ac:dyDescent="0.3">
      <c r="A16" s="33" t="s">
        <v>82</v>
      </c>
      <c r="B16" s="34">
        <v>53000</v>
      </c>
      <c r="C16" s="34">
        <v>38606</v>
      </c>
    </row>
    <row r="17" spans="1:10" x14ac:dyDescent="0.3">
      <c r="A17" s="33" t="s">
        <v>1465</v>
      </c>
      <c r="B17" s="29">
        <v>1323500</v>
      </c>
      <c r="C17" s="29">
        <v>954222</v>
      </c>
    </row>
    <row r="20" spans="1:10" x14ac:dyDescent="0.3">
      <c r="A20" s="32" t="s">
        <v>1470</v>
      </c>
      <c r="B20" s="32" t="s">
        <v>1469</v>
      </c>
    </row>
    <row r="21" spans="1:10" x14ac:dyDescent="0.3">
      <c r="A21" s="32" t="s">
        <v>1464</v>
      </c>
      <c r="B21" t="s">
        <v>487</v>
      </c>
      <c r="C21" t="s">
        <v>314</v>
      </c>
      <c r="D21" t="s">
        <v>269</v>
      </c>
      <c r="E21" t="s">
        <v>356</v>
      </c>
      <c r="F21" t="s">
        <v>287</v>
      </c>
      <c r="G21" t="s">
        <v>276</v>
      </c>
      <c r="H21" t="s">
        <v>319</v>
      </c>
      <c r="I21" t="s">
        <v>430</v>
      </c>
      <c r="J21" t="s">
        <v>1465</v>
      </c>
    </row>
    <row r="22" spans="1:10" x14ac:dyDescent="0.3">
      <c r="A22" s="33" t="s">
        <v>197</v>
      </c>
      <c r="B22" s="29">
        <v>1</v>
      </c>
      <c r="C22" s="29">
        <v>13</v>
      </c>
      <c r="D22" s="29">
        <v>5</v>
      </c>
      <c r="E22" s="29">
        <v>3</v>
      </c>
      <c r="F22" s="29">
        <v>6</v>
      </c>
      <c r="G22" s="29">
        <v>3</v>
      </c>
      <c r="H22" s="29">
        <v>5</v>
      </c>
      <c r="I22" s="29">
        <v>2</v>
      </c>
      <c r="J22" s="29">
        <v>38</v>
      </c>
    </row>
    <row r="23" spans="1:10" x14ac:dyDescent="0.3">
      <c r="A23" s="33" t="s">
        <v>150</v>
      </c>
      <c r="B23" s="29">
        <v>2</v>
      </c>
      <c r="C23" s="29">
        <v>19</v>
      </c>
      <c r="D23" s="29">
        <v>7</v>
      </c>
      <c r="E23" s="29">
        <v>5</v>
      </c>
      <c r="F23" s="29">
        <v>8</v>
      </c>
      <c r="G23" s="29">
        <v>7</v>
      </c>
      <c r="H23" s="29">
        <v>1</v>
      </c>
      <c r="I23" s="29">
        <v>2</v>
      </c>
      <c r="J23" s="29">
        <v>51</v>
      </c>
    </row>
    <row r="24" spans="1:10" x14ac:dyDescent="0.3">
      <c r="A24" s="33" t="s">
        <v>187</v>
      </c>
      <c r="B24" s="29">
        <v>1</v>
      </c>
      <c r="C24" s="29">
        <v>13</v>
      </c>
      <c r="D24" s="29">
        <v>7</v>
      </c>
      <c r="E24" s="29">
        <v>4</v>
      </c>
      <c r="F24" s="29">
        <v>12</v>
      </c>
      <c r="G24" s="29">
        <v>4</v>
      </c>
      <c r="H24" s="29">
        <v>6</v>
      </c>
      <c r="I24" s="29">
        <v>4</v>
      </c>
      <c r="J24" s="29">
        <v>51</v>
      </c>
    </row>
    <row r="25" spans="1:10" x14ac:dyDescent="0.3">
      <c r="A25" s="33" t="s">
        <v>206</v>
      </c>
      <c r="B25" s="29"/>
      <c r="C25" s="29">
        <v>13</v>
      </c>
      <c r="D25" s="29">
        <v>6</v>
      </c>
      <c r="E25" s="29">
        <v>2</v>
      </c>
      <c r="F25" s="29">
        <v>16</v>
      </c>
      <c r="G25" s="29">
        <v>3</v>
      </c>
      <c r="H25" s="29">
        <v>2</v>
      </c>
      <c r="I25" s="29"/>
      <c r="J25" s="29">
        <v>42</v>
      </c>
    </row>
    <row r="26" spans="1:10" x14ac:dyDescent="0.3">
      <c r="A26" s="33" t="s">
        <v>1465</v>
      </c>
      <c r="B26" s="29">
        <v>4</v>
      </c>
      <c r="C26" s="29">
        <v>58</v>
      </c>
      <c r="D26" s="29">
        <v>25</v>
      </c>
      <c r="E26" s="29">
        <v>14</v>
      </c>
      <c r="F26" s="29">
        <v>42</v>
      </c>
      <c r="G26" s="29">
        <v>17</v>
      </c>
      <c r="H26" s="29">
        <v>14</v>
      </c>
      <c r="I26" s="29">
        <v>8</v>
      </c>
      <c r="J26" s="29">
        <v>182</v>
      </c>
    </row>
    <row r="32" spans="1:10" x14ac:dyDescent="0.3">
      <c r="A32" s="32" t="s">
        <v>1471</v>
      </c>
      <c r="B32" s="32" t="s">
        <v>1469</v>
      </c>
    </row>
    <row r="33" spans="1:6" x14ac:dyDescent="0.3">
      <c r="A33" s="32" t="s">
        <v>1464</v>
      </c>
      <c r="B33" t="s">
        <v>350</v>
      </c>
      <c r="C33" t="s">
        <v>250</v>
      </c>
      <c r="D33" t="s">
        <v>281</v>
      </c>
      <c r="E33" t="s">
        <v>1443</v>
      </c>
      <c r="F33" t="s">
        <v>1465</v>
      </c>
    </row>
    <row r="34" spans="1:6" x14ac:dyDescent="0.3">
      <c r="A34" s="33" t="s">
        <v>197</v>
      </c>
      <c r="B34" s="29">
        <v>2.7692307692307692</v>
      </c>
      <c r="C34" s="29">
        <v>0.54545454545454541</v>
      </c>
      <c r="D34" s="29">
        <v>0.33333333333333331</v>
      </c>
      <c r="E34" s="29">
        <v>0</v>
      </c>
      <c r="F34" s="29">
        <v>1.2105263157894737</v>
      </c>
    </row>
    <row r="35" spans="1:6" x14ac:dyDescent="0.3">
      <c r="A35" s="33" t="s">
        <v>150</v>
      </c>
      <c r="B35" s="29">
        <v>0.04</v>
      </c>
      <c r="C35" s="29">
        <v>0.33333333333333331</v>
      </c>
      <c r="D35" s="29">
        <v>0.53846153846153844</v>
      </c>
      <c r="E35" s="29">
        <v>0</v>
      </c>
      <c r="F35" s="29">
        <v>0.23529411764705882</v>
      </c>
    </row>
    <row r="36" spans="1:6" x14ac:dyDescent="0.3">
      <c r="A36" s="33" t="s">
        <v>187</v>
      </c>
      <c r="B36" s="29">
        <v>0.26666666666666666</v>
      </c>
      <c r="C36" s="29">
        <v>0.25</v>
      </c>
      <c r="D36" s="29">
        <v>1.3</v>
      </c>
      <c r="E36" s="29"/>
      <c r="F36" s="29">
        <v>0.66666666666666663</v>
      </c>
    </row>
    <row r="37" spans="1:6" x14ac:dyDescent="0.3">
      <c r="A37" s="33" t="s">
        <v>206</v>
      </c>
      <c r="B37" s="29">
        <v>0.14285714285714285</v>
      </c>
      <c r="C37" s="29">
        <v>-0.13333333333333333</v>
      </c>
      <c r="D37" s="29">
        <v>1.1666666666666667</v>
      </c>
      <c r="E37" s="29">
        <v>0</v>
      </c>
      <c r="F37" s="29">
        <v>0.33333333333333331</v>
      </c>
    </row>
    <row r="38" spans="1:6" x14ac:dyDescent="0.3">
      <c r="A38" s="33" t="s">
        <v>1465</v>
      </c>
      <c r="B38" s="29">
        <v>0.64179104477611937</v>
      </c>
      <c r="C38" s="29">
        <v>0.22222222222222221</v>
      </c>
      <c r="D38" s="29">
        <v>0.89473684210526316</v>
      </c>
      <c r="E38" s="29">
        <v>0</v>
      </c>
      <c r="F38" s="29">
        <v>0.58241758241758246</v>
      </c>
    </row>
    <row r="44" spans="1:6" x14ac:dyDescent="0.3">
      <c r="A44" s="32" t="s">
        <v>1464</v>
      </c>
      <c r="B44" t="s">
        <v>1467</v>
      </c>
    </row>
    <row r="45" spans="1:6" x14ac:dyDescent="0.3">
      <c r="A45" s="33" t="s">
        <v>155</v>
      </c>
      <c r="B45" s="34">
        <v>65635</v>
      </c>
    </row>
    <row r="46" spans="1:6" x14ac:dyDescent="0.3">
      <c r="A46" s="33" t="s">
        <v>176</v>
      </c>
      <c r="B46" s="34">
        <v>47894</v>
      </c>
    </row>
    <row r="47" spans="1:6" x14ac:dyDescent="0.3">
      <c r="A47" s="33" t="s">
        <v>190</v>
      </c>
      <c r="B47" s="34">
        <v>64193</v>
      </c>
    </row>
    <row r="48" spans="1:6" x14ac:dyDescent="0.3">
      <c r="A48" s="33" t="s">
        <v>214</v>
      </c>
      <c r="B48" s="34">
        <v>58857</v>
      </c>
    </row>
    <row r="49" spans="1:37" x14ac:dyDescent="0.3">
      <c r="A49" s="33" t="s">
        <v>205</v>
      </c>
      <c r="B49" s="34">
        <v>49862</v>
      </c>
    </row>
    <row r="50" spans="1:37" x14ac:dyDescent="0.3">
      <c r="A50" s="33" t="s">
        <v>1465</v>
      </c>
      <c r="B50" s="29">
        <v>286441</v>
      </c>
    </row>
    <row r="54" spans="1:37" x14ac:dyDescent="0.3">
      <c r="B54" s="32" t="s">
        <v>1469</v>
      </c>
    </row>
    <row r="55" spans="1:37" x14ac:dyDescent="0.3">
      <c r="B55" t="s">
        <v>1468</v>
      </c>
      <c r="F55" t="s">
        <v>177</v>
      </c>
      <c r="J55" t="s">
        <v>197</v>
      </c>
      <c r="N55" t="s">
        <v>150</v>
      </c>
      <c r="R55" t="s">
        <v>187</v>
      </c>
      <c r="V55" t="s">
        <v>164</v>
      </c>
      <c r="Z55" t="s">
        <v>206</v>
      </c>
      <c r="AD55" t="s">
        <v>1435</v>
      </c>
      <c r="AH55" t="s">
        <v>1475</v>
      </c>
      <c r="AI55" t="s">
        <v>1476</v>
      </c>
      <c r="AJ55" t="s">
        <v>1477</v>
      </c>
      <c r="AK55" t="s">
        <v>1478</v>
      </c>
    </row>
    <row r="56" spans="1:37" x14ac:dyDescent="0.3">
      <c r="A56" s="32" t="s">
        <v>1464</v>
      </c>
      <c r="B56" t="s">
        <v>1472</v>
      </c>
      <c r="C56" t="s">
        <v>1473</v>
      </c>
      <c r="D56" t="s">
        <v>1474</v>
      </c>
      <c r="E56" t="s">
        <v>1479</v>
      </c>
      <c r="F56" t="s">
        <v>1472</v>
      </c>
      <c r="G56" t="s">
        <v>1473</v>
      </c>
      <c r="H56" s="36" t="s">
        <v>1474</v>
      </c>
      <c r="I56" t="s">
        <v>1479</v>
      </c>
      <c r="J56" t="s">
        <v>1472</v>
      </c>
      <c r="K56" t="s">
        <v>1473</v>
      </c>
      <c r="L56" t="s">
        <v>1474</v>
      </c>
      <c r="M56" t="s">
        <v>1479</v>
      </c>
      <c r="N56" t="s">
        <v>1472</v>
      </c>
      <c r="O56" t="s">
        <v>1473</v>
      </c>
      <c r="P56" t="s">
        <v>1474</v>
      </c>
      <c r="Q56" t="s">
        <v>1479</v>
      </c>
      <c r="R56" t="s">
        <v>1472</v>
      </c>
      <c r="S56" t="s">
        <v>1473</v>
      </c>
      <c r="T56" t="s">
        <v>1474</v>
      </c>
      <c r="U56" t="s">
        <v>1479</v>
      </c>
      <c r="V56" t="s">
        <v>1472</v>
      </c>
      <c r="W56" t="s">
        <v>1473</v>
      </c>
      <c r="X56" t="s">
        <v>1474</v>
      </c>
      <c r="Y56" t="s">
        <v>1479</v>
      </c>
      <c r="Z56" t="s">
        <v>1472</v>
      </c>
      <c r="AA56" t="s">
        <v>1473</v>
      </c>
      <c r="AB56" t="s">
        <v>1474</v>
      </c>
      <c r="AC56" t="s">
        <v>1479</v>
      </c>
      <c r="AD56" t="s">
        <v>1472</v>
      </c>
      <c r="AE56" t="s">
        <v>1473</v>
      </c>
      <c r="AF56" t="s">
        <v>1474</v>
      </c>
      <c r="AG56" t="s">
        <v>1479</v>
      </c>
    </row>
    <row r="57" spans="1:37" x14ac:dyDescent="0.3">
      <c r="A57" s="33" t="s">
        <v>134</v>
      </c>
      <c r="B57" s="29"/>
      <c r="C57" s="29"/>
      <c r="D57" s="35"/>
      <c r="E57" s="29"/>
      <c r="F57" s="29">
        <v>5000</v>
      </c>
      <c r="G57" s="29">
        <v>0</v>
      </c>
      <c r="H57" s="36">
        <v>-1</v>
      </c>
      <c r="I57" s="35"/>
      <c r="J57" s="29">
        <v>6500</v>
      </c>
      <c r="K57" s="29">
        <v>6582</v>
      </c>
      <c r="L57" s="36">
        <v>1.2615384615384615E-2</v>
      </c>
      <c r="M57" s="35"/>
      <c r="N57" s="29">
        <v>14000</v>
      </c>
      <c r="O57" s="29">
        <v>10857</v>
      </c>
      <c r="P57" s="36">
        <v>-0.22450000000000001</v>
      </c>
      <c r="Q57" s="35">
        <v>0.5</v>
      </c>
      <c r="R57" s="29">
        <v>7000</v>
      </c>
      <c r="S57" s="29">
        <v>993</v>
      </c>
      <c r="T57" s="36">
        <v>-0.8581428571428571</v>
      </c>
      <c r="U57" s="35"/>
      <c r="V57" s="29">
        <v>11500</v>
      </c>
      <c r="W57" s="29">
        <v>9106</v>
      </c>
      <c r="X57" s="36">
        <v>-0.20817391304347826</v>
      </c>
      <c r="Y57" s="35"/>
      <c r="Z57" s="29">
        <v>2500</v>
      </c>
      <c r="AA57" s="29">
        <v>2920</v>
      </c>
      <c r="AB57" s="36">
        <v>0.16800000000000001</v>
      </c>
      <c r="AC57" s="35">
        <v>1</v>
      </c>
      <c r="AD57" s="29">
        <v>23500</v>
      </c>
      <c r="AE57" s="29">
        <v>17706</v>
      </c>
      <c r="AF57" s="36">
        <v>-0.24655319148936169</v>
      </c>
      <c r="AG57" s="35">
        <v>0.66666666666666663</v>
      </c>
      <c r="AH57" s="29">
        <v>70000</v>
      </c>
      <c r="AI57" s="29">
        <v>48164</v>
      </c>
      <c r="AJ57" s="36">
        <v>-0.31194285714285713</v>
      </c>
      <c r="AK57" s="35">
        <v>0.66666666666666663</v>
      </c>
    </row>
    <row r="58" spans="1:37" x14ac:dyDescent="0.3">
      <c r="A58" s="33" t="s">
        <v>130</v>
      </c>
      <c r="B58" s="29"/>
      <c r="C58" s="29"/>
      <c r="D58" s="35"/>
      <c r="E58" s="29"/>
      <c r="F58" s="29">
        <v>7000</v>
      </c>
      <c r="G58" s="29">
        <v>7008</v>
      </c>
      <c r="H58" s="36">
        <v>1.1428571428571429E-3</v>
      </c>
      <c r="I58" s="35">
        <v>0.66666666666666663</v>
      </c>
      <c r="J58" s="29">
        <v>10500</v>
      </c>
      <c r="K58" s="29">
        <v>6217</v>
      </c>
      <c r="L58" s="36">
        <v>-0.40790476190476188</v>
      </c>
      <c r="M58" s="35"/>
      <c r="N58" s="29">
        <v>12000</v>
      </c>
      <c r="O58" s="29">
        <v>10972</v>
      </c>
      <c r="P58" s="36">
        <v>-8.5666666666666669E-2</v>
      </c>
      <c r="Q58" s="35">
        <v>1</v>
      </c>
      <c r="R58" s="29">
        <v>6000</v>
      </c>
      <c r="S58" s="29">
        <v>5191</v>
      </c>
      <c r="T58" s="36">
        <v>-0.13483333333333333</v>
      </c>
      <c r="U58" s="35">
        <v>1</v>
      </c>
      <c r="V58" s="29">
        <v>3500</v>
      </c>
      <c r="W58" s="29">
        <v>3415</v>
      </c>
      <c r="X58" s="36">
        <v>-2.4285714285714285E-2</v>
      </c>
      <c r="Y58" s="35"/>
      <c r="Z58" s="29">
        <v>18000</v>
      </c>
      <c r="AA58" s="29">
        <v>8910</v>
      </c>
      <c r="AB58" s="36">
        <v>-0.505</v>
      </c>
      <c r="AC58" s="35"/>
      <c r="AD58" s="29">
        <v>9000</v>
      </c>
      <c r="AE58" s="29">
        <v>7692</v>
      </c>
      <c r="AF58" s="36">
        <v>-0.14533333333333334</v>
      </c>
      <c r="AG58" s="35"/>
      <c r="AH58" s="29">
        <v>66000</v>
      </c>
      <c r="AI58" s="29">
        <v>49405</v>
      </c>
      <c r="AJ58" s="36">
        <v>-0.25143939393939396</v>
      </c>
      <c r="AK58" s="35">
        <v>0.5714285714285714</v>
      </c>
    </row>
    <row r="59" spans="1:37" x14ac:dyDescent="0.3">
      <c r="A59" s="33" t="s">
        <v>106</v>
      </c>
      <c r="B59" s="29">
        <v>3000</v>
      </c>
      <c r="C59" s="29">
        <v>0</v>
      </c>
      <c r="D59" s="35">
        <v>-1</v>
      </c>
      <c r="E59" s="29"/>
      <c r="F59" s="29">
        <v>7000</v>
      </c>
      <c r="G59" s="29">
        <v>5101</v>
      </c>
      <c r="H59" s="36">
        <v>-0.2712857142857143</v>
      </c>
      <c r="I59" s="35"/>
      <c r="J59" s="29">
        <v>14000</v>
      </c>
      <c r="K59" s="29">
        <v>5228</v>
      </c>
      <c r="L59" s="36">
        <v>-0.62657142857142856</v>
      </c>
      <c r="M59" s="35">
        <v>1</v>
      </c>
      <c r="N59" s="29">
        <v>12500</v>
      </c>
      <c r="O59" s="29">
        <v>5055</v>
      </c>
      <c r="P59" s="36">
        <v>-0.59560000000000002</v>
      </c>
      <c r="Q59" s="35"/>
      <c r="R59" s="29">
        <v>13000</v>
      </c>
      <c r="S59" s="29">
        <v>10243</v>
      </c>
      <c r="T59" s="36">
        <v>-0.21207692307692308</v>
      </c>
      <c r="U59" s="35"/>
      <c r="V59" s="29">
        <v>29000</v>
      </c>
      <c r="W59" s="29">
        <v>17745</v>
      </c>
      <c r="X59" s="36">
        <v>-0.38810344827586207</v>
      </c>
      <c r="Y59" s="35"/>
      <c r="Z59" s="29">
        <v>15000</v>
      </c>
      <c r="AA59" s="29">
        <v>9816</v>
      </c>
      <c r="AB59" s="36">
        <v>-0.34560000000000002</v>
      </c>
      <c r="AC59" s="35"/>
      <c r="AD59" s="29">
        <v>16000</v>
      </c>
      <c r="AE59" s="29">
        <v>20314</v>
      </c>
      <c r="AF59" s="36">
        <v>0.269625</v>
      </c>
      <c r="AG59" s="35"/>
      <c r="AH59" s="29">
        <v>109500</v>
      </c>
      <c r="AI59" s="29">
        <v>73502</v>
      </c>
      <c r="AJ59" s="36">
        <v>-0.32874885844748858</v>
      </c>
      <c r="AK59" s="35">
        <v>0.25</v>
      </c>
    </row>
    <row r="60" spans="1:37" x14ac:dyDescent="0.3">
      <c r="A60" s="33" t="s">
        <v>102</v>
      </c>
      <c r="B60" s="29">
        <v>10000</v>
      </c>
      <c r="C60" s="29">
        <v>0</v>
      </c>
      <c r="D60" s="35">
        <v>-1</v>
      </c>
      <c r="E60" s="29"/>
      <c r="F60" s="29">
        <v>15500</v>
      </c>
      <c r="G60" s="29">
        <v>17043</v>
      </c>
      <c r="H60" s="36">
        <v>9.9548387096774188E-2</v>
      </c>
      <c r="I60" s="35">
        <v>1</v>
      </c>
      <c r="J60" s="29"/>
      <c r="K60" s="29"/>
      <c r="L60" s="36"/>
      <c r="M60" s="35"/>
      <c r="N60" s="29">
        <v>8500</v>
      </c>
      <c r="O60" s="29">
        <v>5599</v>
      </c>
      <c r="P60" s="36">
        <v>-0.3412941176470588</v>
      </c>
      <c r="Q60" s="35"/>
      <c r="R60" s="29">
        <v>34500</v>
      </c>
      <c r="S60" s="29">
        <v>28804</v>
      </c>
      <c r="T60" s="36">
        <v>-0.16510144927536233</v>
      </c>
      <c r="U60" s="35">
        <v>1</v>
      </c>
      <c r="V60" s="29"/>
      <c r="W60" s="29"/>
      <c r="X60" s="36"/>
      <c r="Y60" s="35"/>
      <c r="Z60" s="29">
        <v>1500</v>
      </c>
      <c r="AA60" s="29">
        <v>1802</v>
      </c>
      <c r="AB60" s="36">
        <v>0.20133333333333334</v>
      </c>
      <c r="AC60" s="35">
        <v>1</v>
      </c>
      <c r="AD60" s="29">
        <v>15500</v>
      </c>
      <c r="AE60" s="29">
        <v>12514</v>
      </c>
      <c r="AF60" s="36">
        <v>-0.19264516129032258</v>
      </c>
      <c r="AG60" s="35">
        <v>1</v>
      </c>
      <c r="AH60" s="29">
        <v>85500</v>
      </c>
      <c r="AI60" s="29">
        <v>65762</v>
      </c>
      <c r="AJ60" s="36">
        <v>-0.23085380116959064</v>
      </c>
      <c r="AK60" s="35">
        <v>1</v>
      </c>
    </row>
    <row r="61" spans="1:37" x14ac:dyDescent="0.3">
      <c r="A61" s="33" t="s">
        <v>141</v>
      </c>
      <c r="B61" s="29"/>
      <c r="C61" s="29"/>
      <c r="D61" s="35"/>
      <c r="E61" s="29"/>
      <c r="F61" s="29">
        <v>31500</v>
      </c>
      <c r="G61" s="29">
        <v>18153</v>
      </c>
      <c r="H61" s="36">
        <v>-0.42371428571428571</v>
      </c>
      <c r="I61" s="35">
        <v>1</v>
      </c>
      <c r="J61" s="29">
        <v>8000</v>
      </c>
      <c r="K61" s="29">
        <v>8176</v>
      </c>
      <c r="L61" s="36">
        <v>2.1999999999999999E-2</v>
      </c>
      <c r="M61" s="35"/>
      <c r="N61" s="29">
        <v>8500</v>
      </c>
      <c r="O61" s="29">
        <v>9783</v>
      </c>
      <c r="P61" s="36">
        <v>0.15094117647058825</v>
      </c>
      <c r="Q61" s="35">
        <v>1</v>
      </c>
      <c r="R61" s="29">
        <v>10500</v>
      </c>
      <c r="S61" s="29">
        <v>6214</v>
      </c>
      <c r="T61" s="36">
        <v>-0.40819047619047621</v>
      </c>
      <c r="U61" s="35"/>
      <c r="V61" s="29">
        <v>17500</v>
      </c>
      <c r="W61" s="29">
        <v>20753</v>
      </c>
      <c r="X61" s="36">
        <v>0.18588571428571429</v>
      </c>
      <c r="Y61" s="35"/>
      <c r="Z61" s="29">
        <v>9500</v>
      </c>
      <c r="AA61" s="29">
        <v>7094</v>
      </c>
      <c r="AB61" s="36">
        <v>-0.25326315789473686</v>
      </c>
      <c r="AC61" s="35"/>
      <c r="AD61" s="29">
        <v>4500</v>
      </c>
      <c r="AE61" s="29">
        <v>4122</v>
      </c>
      <c r="AF61" s="36">
        <v>-8.4000000000000005E-2</v>
      </c>
      <c r="AG61" s="35">
        <v>1</v>
      </c>
      <c r="AH61" s="29">
        <v>90000</v>
      </c>
      <c r="AI61" s="29">
        <v>74295</v>
      </c>
      <c r="AJ61" s="36">
        <v>-0.17449999999999999</v>
      </c>
      <c r="AK61" s="35">
        <v>0.5714285714285714</v>
      </c>
    </row>
    <row r="62" spans="1:37" x14ac:dyDescent="0.3">
      <c r="A62" s="33" t="s">
        <v>87</v>
      </c>
      <c r="B62" s="29">
        <v>10000</v>
      </c>
      <c r="C62" s="29">
        <v>5205</v>
      </c>
      <c r="D62" s="35">
        <v>-0.47949999999999998</v>
      </c>
      <c r="E62" s="29"/>
      <c r="F62" s="29">
        <v>9500</v>
      </c>
      <c r="G62" s="29">
        <v>7948</v>
      </c>
      <c r="H62" s="36">
        <v>-0.16336842105263158</v>
      </c>
      <c r="I62" s="35">
        <v>1</v>
      </c>
      <c r="J62" s="29"/>
      <c r="K62" s="29"/>
      <c r="L62" s="36"/>
      <c r="M62" s="35"/>
      <c r="N62" s="29">
        <v>29000</v>
      </c>
      <c r="O62" s="29">
        <v>22160</v>
      </c>
      <c r="P62" s="36">
        <v>-0.23586206896551723</v>
      </c>
      <c r="Q62" s="35">
        <v>1</v>
      </c>
      <c r="R62" s="29">
        <v>5500</v>
      </c>
      <c r="S62" s="29">
        <v>551</v>
      </c>
      <c r="T62" s="36">
        <v>-0.89981818181818185</v>
      </c>
      <c r="U62" s="35"/>
      <c r="V62" s="29">
        <v>16000</v>
      </c>
      <c r="W62" s="29">
        <v>10087</v>
      </c>
      <c r="X62" s="36">
        <v>-0.36956250000000002</v>
      </c>
      <c r="Y62" s="35">
        <v>1</v>
      </c>
      <c r="Z62" s="29">
        <v>22500</v>
      </c>
      <c r="AA62" s="29">
        <v>19206</v>
      </c>
      <c r="AB62" s="36">
        <v>-0.1464</v>
      </c>
      <c r="AC62" s="35">
        <v>0.5</v>
      </c>
      <c r="AD62" s="29">
        <v>5000</v>
      </c>
      <c r="AE62" s="29">
        <v>6487</v>
      </c>
      <c r="AF62" s="36">
        <v>0.2974</v>
      </c>
      <c r="AG62" s="35"/>
      <c r="AH62" s="29">
        <v>97500</v>
      </c>
      <c r="AI62" s="29">
        <v>71644</v>
      </c>
      <c r="AJ62" s="36">
        <v>-0.26518974358974357</v>
      </c>
      <c r="AK62" s="35">
        <v>0.8571428571428571</v>
      </c>
    </row>
    <row r="63" spans="1:37" x14ac:dyDescent="0.3">
      <c r="A63" s="33" t="s">
        <v>127</v>
      </c>
      <c r="B63" s="29"/>
      <c r="C63" s="29"/>
      <c r="D63" s="35"/>
      <c r="E63" s="29"/>
      <c r="F63" s="29">
        <v>11000</v>
      </c>
      <c r="G63" s="29">
        <v>6201</v>
      </c>
      <c r="H63" s="36">
        <v>-0.43627272727272726</v>
      </c>
      <c r="I63" s="35"/>
      <c r="J63" s="29">
        <v>9000</v>
      </c>
      <c r="K63" s="29">
        <v>2904</v>
      </c>
      <c r="L63" s="36">
        <v>-0.67733333333333334</v>
      </c>
      <c r="M63" s="35"/>
      <c r="N63" s="29">
        <v>15000</v>
      </c>
      <c r="O63" s="29">
        <v>6612</v>
      </c>
      <c r="P63" s="36">
        <v>-0.55920000000000003</v>
      </c>
      <c r="Q63" s="35"/>
      <c r="R63" s="29">
        <v>41500</v>
      </c>
      <c r="S63" s="29">
        <v>33192</v>
      </c>
      <c r="T63" s="36">
        <v>-0.20019277108433736</v>
      </c>
      <c r="U63" s="35"/>
      <c r="V63" s="29">
        <v>11500</v>
      </c>
      <c r="W63" s="29">
        <v>14011</v>
      </c>
      <c r="X63" s="36">
        <v>0.21834782608695652</v>
      </c>
      <c r="Y63" s="35">
        <v>0.66666666666666663</v>
      </c>
      <c r="Z63" s="29">
        <v>20000</v>
      </c>
      <c r="AA63" s="29">
        <v>9096</v>
      </c>
      <c r="AB63" s="36">
        <v>-0.54520000000000002</v>
      </c>
      <c r="AC63" s="35"/>
      <c r="AD63" s="29">
        <v>4000</v>
      </c>
      <c r="AE63" s="29">
        <v>2776</v>
      </c>
      <c r="AF63" s="36">
        <v>-0.30599999999999999</v>
      </c>
      <c r="AG63" s="35"/>
      <c r="AH63" s="29">
        <v>112000</v>
      </c>
      <c r="AI63" s="29">
        <v>74792</v>
      </c>
      <c r="AJ63" s="36">
        <v>-0.33221428571428574</v>
      </c>
      <c r="AK63" s="35">
        <v>0.5</v>
      </c>
    </row>
    <row r="64" spans="1:37" x14ac:dyDescent="0.3">
      <c r="A64" s="33" t="s">
        <v>92</v>
      </c>
      <c r="B64" s="29">
        <v>1000</v>
      </c>
      <c r="C64" s="29">
        <v>0</v>
      </c>
      <c r="D64" s="35">
        <v>-1</v>
      </c>
      <c r="E64" s="29"/>
      <c r="F64" s="29">
        <v>4500</v>
      </c>
      <c r="G64" s="29">
        <v>2490</v>
      </c>
      <c r="H64" s="36">
        <v>-0.44666666666666666</v>
      </c>
      <c r="I64" s="35"/>
      <c r="J64" s="29">
        <v>21000</v>
      </c>
      <c r="K64" s="29">
        <v>17646</v>
      </c>
      <c r="L64" s="36">
        <v>-0.15971428571428573</v>
      </c>
      <c r="M64" s="35">
        <v>1</v>
      </c>
      <c r="N64" s="29">
        <v>18000</v>
      </c>
      <c r="O64" s="29">
        <v>16850</v>
      </c>
      <c r="P64" s="36">
        <v>-6.3888888888888884E-2</v>
      </c>
      <c r="Q64" s="35">
        <v>0.75</v>
      </c>
      <c r="R64" s="29">
        <v>18000</v>
      </c>
      <c r="S64" s="29">
        <v>11059</v>
      </c>
      <c r="T64" s="36">
        <v>-0.38561111111111113</v>
      </c>
      <c r="U64" s="35"/>
      <c r="V64" s="29">
        <v>25000</v>
      </c>
      <c r="W64" s="29">
        <v>26903</v>
      </c>
      <c r="X64" s="36">
        <v>7.6119999999999993E-2</v>
      </c>
      <c r="Y64" s="35">
        <v>0.33333333333333331</v>
      </c>
      <c r="Z64" s="29">
        <v>10500</v>
      </c>
      <c r="AA64" s="29">
        <v>9118</v>
      </c>
      <c r="AB64" s="36">
        <v>-0.13161904761904761</v>
      </c>
      <c r="AC64" s="35">
        <v>1</v>
      </c>
      <c r="AD64" s="29">
        <v>8000</v>
      </c>
      <c r="AE64" s="29">
        <v>6292</v>
      </c>
      <c r="AF64" s="36">
        <v>-0.2135</v>
      </c>
      <c r="AG64" s="35"/>
      <c r="AH64" s="29">
        <v>106000</v>
      </c>
      <c r="AI64" s="29">
        <v>90358</v>
      </c>
      <c r="AJ64" s="36">
        <v>-0.14756603773584906</v>
      </c>
      <c r="AK64" s="35">
        <v>0.76923076923076927</v>
      </c>
    </row>
    <row r="65" spans="1:37" x14ac:dyDescent="0.3">
      <c r="A65" s="33" t="s">
        <v>110</v>
      </c>
      <c r="B65" s="29"/>
      <c r="C65" s="29"/>
      <c r="D65" s="35"/>
      <c r="E65" s="29"/>
      <c r="F65" s="29">
        <v>22000</v>
      </c>
      <c r="G65" s="29">
        <v>15511</v>
      </c>
      <c r="H65" s="36">
        <v>-0.29495454545454547</v>
      </c>
      <c r="I65" s="35"/>
      <c r="J65" s="29">
        <v>6000</v>
      </c>
      <c r="K65" s="29">
        <v>1369</v>
      </c>
      <c r="L65" s="36">
        <v>-0.77183333333333337</v>
      </c>
      <c r="M65" s="35"/>
      <c r="N65" s="29">
        <v>12000</v>
      </c>
      <c r="O65" s="29">
        <v>12132</v>
      </c>
      <c r="P65" s="36">
        <v>1.0999999999999999E-2</v>
      </c>
      <c r="Q65" s="35">
        <v>1</v>
      </c>
      <c r="R65" s="29">
        <v>2500</v>
      </c>
      <c r="S65" s="29">
        <v>0</v>
      </c>
      <c r="T65" s="36">
        <v>-1</v>
      </c>
      <c r="U65" s="35"/>
      <c r="V65" s="29">
        <v>36000</v>
      </c>
      <c r="W65" s="29">
        <v>20671</v>
      </c>
      <c r="X65" s="36">
        <v>-0.42580555555555555</v>
      </c>
      <c r="Y65" s="35">
        <v>0.5</v>
      </c>
      <c r="Z65" s="29">
        <v>30000</v>
      </c>
      <c r="AA65" s="29">
        <v>14584</v>
      </c>
      <c r="AB65" s="36">
        <v>-0.51386666666666669</v>
      </c>
      <c r="AC65" s="35">
        <v>1</v>
      </c>
      <c r="AD65" s="29">
        <v>1500</v>
      </c>
      <c r="AE65" s="29">
        <v>1618</v>
      </c>
      <c r="AF65" s="36">
        <v>7.8666666666666663E-2</v>
      </c>
      <c r="AG65" s="35"/>
      <c r="AH65" s="29">
        <v>110000</v>
      </c>
      <c r="AI65" s="29">
        <v>65885</v>
      </c>
      <c r="AJ65" s="36">
        <v>-0.40104545454545454</v>
      </c>
      <c r="AK65" s="35">
        <v>0.8</v>
      </c>
    </row>
    <row r="66" spans="1:37" x14ac:dyDescent="0.3">
      <c r="A66" s="33" t="s">
        <v>114</v>
      </c>
      <c r="B66" s="29">
        <v>10000</v>
      </c>
      <c r="C66" s="29">
        <v>5964</v>
      </c>
      <c r="D66" s="35">
        <v>-0.40360000000000001</v>
      </c>
      <c r="E66" s="29"/>
      <c r="F66" s="29">
        <v>13000</v>
      </c>
      <c r="G66" s="29">
        <v>13468</v>
      </c>
      <c r="H66" s="36">
        <v>3.5999999999999997E-2</v>
      </c>
      <c r="I66" s="35">
        <v>1</v>
      </c>
      <c r="J66" s="29">
        <v>25000</v>
      </c>
      <c r="K66" s="29">
        <v>24201</v>
      </c>
      <c r="L66" s="36">
        <v>-3.1960000000000002E-2</v>
      </c>
      <c r="M66" s="35">
        <v>0.5</v>
      </c>
      <c r="N66" s="29">
        <v>3000</v>
      </c>
      <c r="O66" s="29">
        <v>2732</v>
      </c>
      <c r="P66" s="36">
        <v>-8.9333333333333334E-2</v>
      </c>
      <c r="Q66" s="35"/>
      <c r="R66" s="29">
        <v>17000</v>
      </c>
      <c r="S66" s="29">
        <v>7762</v>
      </c>
      <c r="T66" s="36">
        <v>-0.54341176470588237</v>
      </c>
      <c r="U66" s="35"/>
      <c r="V66" s="29">
        <v>9500</v>
      </c>
      <c r="W66" s="29">
        <v>8051</v>
      </c>
      <c r="X66" s="36">
        <v>-0.15252631578947368</v>
      </c>
      <c r="Y66" s="35">
        <v>0.66666666666666663</v>
      </c>
      <c r="Z66" s="29">
        <v>6500</v>
      </c>
      <c r="AA66" s="29">
        <v>6722</v>
      </c>
      <c r="AB66" s="36">
        <v>3.4153846153846153E-2</v>
      </c>
      <c r="AC66" s="35">
        <v>1</v>
      </c>
      <c r="AD66" s="29">
        <v>9000</v>
      </c>
      <c r="AE66" s="29">
        <v>5981</v>
      </c>
      <c r="AF66" s="36">
        <v>-0.33544444444444443</v>
      </c>
      <c r="AG66" s="35">
        <v>1</v>
      </c>
      <c r="AH66" s="29">
        <v>93000</v>
      </c>
      <c r="AI66" s="29">
        <v>74881</v>
      </c>
      <c r="AJ66" s="36">
        <v>-0.19482795698924732</v>
      </c>
      <c r="AK66" s="35">
        <v>0.75</v>
      </c>
    </row>
    <row r="67" spans="1:37" x14ac:dyDescent="0.3">
      <c r="A67" s="33" t="s">
        <v>123</v>
      </c>
      <c r="B67" s="29"/>
      <c r="C67" s="29"/>
      <c r="D67" s="35"/>
      <c r="E67" s="29"/>
      <c r="F67" s="29">
        <v>7000</v>
      </c>
      <c r="G67" s="29">
        <v>3074</v>
      </c>
      <c r="H67" s="36">
        <v>-0.56085714285714283</v>
      </c>
      <c r="I67" s="35"/>
      <c r="J67" s="29">
        <v>16500</v>
      </c>
      <c r="K67" s="29">
        <v>8612</v>
      </c>
      <c r="L67" s="36">
        <v>-0.47806060606060607</v>
      </c>
      <c r="M67" s="35">
        <v>1</v>
      </c>
      <c r="N67" s="29">
        <v>22500</v>
      </c>
      <c r="O67" s="29">
        <v>12070</v>
      </c>
      <c r="P67" s="36">
        <v>-0.46355555555555555</v>
      </c>
      <c r="Q67" s="35">
        <v>0.66666666666666663</v>
      </c>
      <c r="R67" s="29"/>
      <c r="S67" s="29"/>
      <c r="T67" s="36"/>
      <c r="U67" s="35"/>
      <c r="V67" s="29">
        <v>11000</v>
      </c>
      <c r="W67" s="29">
        <v>3262</v>
      </c>
      <c r="X67" s="36">
        <v>-0.70345454545454544</v>
      </c>
      <c r="Y67" s="35"/>
      <c r="Z67" s="29">
        <v>17500</v>
      </c>
      <c r="AA67" s="29">
        <v>17169</v>
      </c>
      <c r="AB67" s="36">
        <v>-1.8914285714285713E-2</v>
      </c>
      <c r="AC67" s="35"/>
      <c r="AD67" s="29">
        <v>11000</v>
      </c>
      <c r="AE67" s="29">
        <v>2478</v>
      </c>
      <c r="AF67" s="36">
        <v>-0.77472727272727271</v>
      </c>
      <c r="AG67" s="35">
        <v>1</v>
      </c>
      <c r="AH67" s="29">
        <v>85500</v>
      </c>
      <c r="AI67" s="29">
        <v>46665</v>
      </c>
      <c r="AJ67" s="36">
        <v>-0.45421052631578945</v>
      </c>
      <c r="AK67" s="35">
        <v>0.83333333333333337</v>
      </c>
    </row>
    <row r="68" spans="1:37" x14ac:dyDescent="0.3">
      <c r="A68" s="33" t="s">
        <v>137</v>
      </c>
      <c r="B68" s="29"/>
      <c r="C68" s="29"/>
      <c r="D68" s="35"/>
      <c r="E68" s="29"/>
      <c r="F68" s="29">
        <v>22000</v>
      </c>
      <c r="G68" s="29">
        <v>17548</v>
      </c>
      <c r="H68" s="36">
        <v>-0.20236363636363636</v>
      </c>
      <c r="I68" s="35">
        <v>1</v>
      </c>
      <c r="J68" s="29">
        <v>19000</v>
      </c>
      <c r="K68" s="29">
        <v>15938</v>
      </c>
      <c r="L68" s="36">
        <v>-0.16115789473684211</v>
      </c>
      <c r="M68" s="35">
        <v>1</v>
      </c>
      <c r="N68" s="29">
        <v>10000</v>
      </c>
      <c r="O68" s="29">
        <v>2591</v>
      </c>
      <c r="P68" s="36">
        <v>-0.7409</v>
      </c>
      <c r="Q68" s="35">
        <v>0.5</v>
      </c>
      <c r="R68" s="29">
        <v>21000</v>
      </c>
      <c r="S68" s="29">
        <v>11903</v>
      </c>
      <c r="T68" s="36">
        <v>-0.43319047619047618</v>
      </c>
      <c r="U68" s="35">
        <v>1</v>
      </c>
      <c r="V68" s="29">
        <v>15000</v>
      </c>
      <c r="W68" s="29">
        <v>4270</v>
      </c>
      <c r="X68" s="36">
        <v>-0.71533333333333338</v>
      </c>
      <c r="Y68" s="35">
        <v>1</v>
      </c>
      <c r="Z68" s="29">
        <v>4000</v>
      </c>
      <c r="AA68" s="29">
        <v>4446</v>
      </c>
      <c r="AB68" s="36">
        <v>0.1115</v>
      </c>
      <c r="AC68" s="35">
        <v>1</v>
      </c>
      <c r="AD68" s="29">
        <v>2000</v>
      </c>
      <c r="AE68" s="29">
        <v>1912</v>
      </c>
      <c r="AF68" s="36">
        <v>-4.3999999999999997E-2</v>
      </c>
      <c r="AG68" s="35">
        <v>1</v>
      </c>
      <c r="AH68" s="29">
        <v>93000</v>
      </c>
      <c r="AI68" s="29">
        <v>58608</v>
      </c>
      <c r="AJ68" s="36">
        <v>-0.36980645161290321</v>
      </c>
      <c r="AK68" s="35">
        <v>0.90909090909090906</v>
      </c>
    </row>
    <row r="69" spans="1:37" x14ac:dyDescent="0.3">
      <c r="A69" s="33" t="s">
        <v>119</v>
      </c>
      <c r="B69" s="29">
        <v>1500</v>
      </c>
      <c r="C69" s="29">
        <v>312</v>
      </c>
      <c r="D69" s="35">
        <v>-0.79200000000000004</v>
      </c>
      <c r="E69" s="29"/>
      <c r="F69" s="29">
        <v>5000</v>
      </c>
      <c r="G69" s="29">
        <v>2255</v>
      </c>
      <c r="H69" s="36">
        <v>-0.54900000000000004</v>
      </c>
      <c r="I69" s="35"/>
      <c r="J69" s="29">
        <v>3000</v>
      </c>
      <c r="K69" s="29">
        <v>742</v>
      </c>
      <c r="L69" s="36">
        <v>-0.75266666666666671</v>
      </c>
      <c r="M69" s="35"/>
      <c r="N69" s="29">
        <v>8500</v>
      </c>
      <c r="O69" s="29">
        <v>4316</v>
      </c>
      <c r="P69" s="36">
        <v>-0.49223529411764705</v>
      </c>
      <c r="Q69" s="35"/>
      <c r="R69" s="29">
        <v>18000</v>
      </c>
      <c r="S69" s="29">
        <v>22257</v>
      </c>
      <c r="T69" s="36">
        <v>0.23649999999999999</v>
      </c>
      <c r="U69" s="35">
        <v>0.5</v>
      </c>
      <c r="V69" s="29">
        <v>16000</v>
      </c>
      <c r="W69" s="29">
        <v>8693</v>
      </c>
      <c r="X69" s="36">
        <v>-0.45668750000000002</v>
      </c>
      <c r="Y69" s="35"/>
      <c r="Z69" s="29">
        <v>14500</v>
      </c>
      <c r="AA69" s="29">
        <v>10648</v>
      </c>
      <c r="AB69" s="36">
        <v>-0.26565517241379311</v>
      </c>
      <c r="AC69" s="35">
        <v>1</v>
      </c>
      <c r="AD69" s="29">
        <v>7500</v>
      </c>
      <c r="AE69" s="29">
        <v>4690</v>
      </c>
      <c r="AF69" s="36">
        <v>-0.37466666666666665</v>
      </c>
      <c r="AG69" s="35">
        <v>1</v>
      </c>
      <c r="AH69" s="29">
        <v>74000</v>
      </c>
      <c r="AI69" s="29">
        <v>53913</v>
      </c>
      <c r="AJ69" s="36">
        <v>-0.27144594594594595</v>
      </c>
      <c r="AK69" s="35">
        <v>0.75</v>
      </c>
    </row>
    <row r="70" spans="1:37" x14ac:dyDescent="0.3">
      <c r="A70" s="33" t="s">
        <v>97</v>
      </c>
      <c r="B70" s="29"/>
      <c r="C70" s="29"/>
      <c r="D70" s="35"/>
      <c r="E70" s="29"/>
      <c r="F70" s="29">
        <v>10000</v>
      </c>
      <c r="G70" s="29">
        <v>7841</v>
      </c>
      <c r="H70" s="36">
        <v>-0.21590000000000001</v>
      </c>
      <c r="I70" s="35"/>
      <c r="J70" s="29">
        <v>6500</v>
      </c>
      <c r="K70" s="29">
        <v>1387</v>
      </c>
      <c r="L70" s="36">
        <v>-0.78661538461538461</v>
      </c>
      <c r="M70" s="35"/>
      <c r="N70" s="29">
        <v>16000</v>
      </c>
      <c r="O70" s="29">
        <v>17338</v>
      </c>
      <c r="P70" s="36">
        <v>8.3625000000000005E-2</v>
      </c>
      <c r="Q70" s="35">
        <v>0.33333333333333331</v>
      </c>
      <c r="R70" s="29">
        <v>15500</v>
      </c>
      <c r="S70" s="29">
        <v>15105</v>
      </c>
      <c r="T70" s="36">
        <v>-2.5483870967741934E-2</v>
      </c>
      <c r="U70" s="35">
        <v>0.5</v>
      </c>
      <c r="V70" s="29">
        <v>10000</v>
      </c>
      <c r="W70" s="29">
        <v>6559</v>
      </c>
      <c r="X70" s="36">
        <v>-0.34410000000000002</v>
      </c>
      <c r="Y70" s="35"/>
      <c r="Z70" s="29">
        <v>11500</v>
      </c>
      <c r="AA70" s="29">
        <v>11161</v>
      </c>
      <c r="AB70" s="36">
        <v>-2.9478260869565218E-2</v>
      </c>
      <c r="AC70" s="35">
        <v>1</v>
      </c>
      <c r="AD70" s="29">
        <v>9000</v>
      </c>
      <c r="AE70" s="29">
        <v>8351</v>
      </c>
      <c r="AF70" s="36">
        <v>-7.2111111111111112E-2</v>
      </c>
      <c r="AG70" s="35"/>
      <c r="AH70" s="29">
        <v>78500</v>
      </c>
      <c r="AI70" s="29">
        <v>67742</v>
      </c>
      <c r="AJ70" s="36">
        <v>-0.13704458598726116</v>
      </c>
      <c r="AK70" s="35">
        <v>0.5</v>
      </c>
    </row>
    <row r="71" spans="1:37" x14ac:dyDescent="0.3">
      <c r="A71" s="33" t="s">
        <v>82</v>
      </c>
      <c r="B71" s="29"/>
      <c r="C71" s="29"/>
      <c r="D71" s="35"/>
      <c r="E71" s="29"/>
      <c r="F71" s="29">
        <v>8000</v>
      </c>
      <c r="G71" s="29">
        <v>6790</v>
      </c>
      <c r="H71" s="36">
        <v>-0.15125</v>
      </c>
      <c r="I71" s="35">
        <v>1</v>
      </c>
      <c r="J71" s="29">
        <v>15000</v>
      </c>
      <c r="K71" s="29">
        <v>14941</v>
      </c>
      <c r="L71" s="36">
        <v>-3.933333333333333E-3</v>
      </c>
      <c r="M71" s="35">
        <v>1</v>
      </c>
      <c r="N71" s="29">
        <v>6000</v>
      </c>
      <c r="O71" s="29">
        <v>5586</v>
      </c>
      <c r="P71" s="36">
        <v>-6.9000000000000006E-2</v>
      </c>
      <c r="Q71" s="35"/>
      <c r="R71" s="29">
        <v>8000</v>
      </c>
      <c r="S71" s="29">
        <v>3393</v>
      </c>
      <c r="T71" s="36">
        <v>-0.57587500000000003</v>
      </c>
      <c r="U71" s="35"/>
      <c r="V71" s="29">
        <v>1500</v>
      </c>
      <c r="W71" s="29">
        <v>618</v>
      </c>
      <c r="X71" s="36">
        <v>-0.58799999999999997</v>
      </c>
      <c r="Y71" s="35"/>
      <c r="Z71" s="29">
        <v>5500</v>
      </c>
      <c r="AA71" s="29">
        <v>2641</v>
      </c>
      <c r="AB71" s="36">
        <v>-0.51981818181818185</v>
      </c>
      <c r="AC71" s="35"/>
      <c r="AD71" s="29">
        <v>9000</v>
      </c>
      <c r="AE71" s="29">
        <v>4637</v>
      </c>
      <c r="AF71" s="36">
        <v>-0.48477777777777775</v>
      </c>
      <c r="AG71" s="35"/>
      <c r="AH71" s="29">
        <v>53000</v>
      </c>
      <c r="AI71" s="29">
        <v>38606</v>
      </c>
      <c r="AJ71" s="36">
        <v>-0.27158490566037735</v>
      </c>
      <c r="AK71" s="35">
        <v>1</v>
      </c>
    </row>
    <row r="72" spans="1:37" x14ac:dyDescent="0.3">
      <c r="A72" s="33" t="s">
        <v>1465</v>
      </c>
      <c r="B72" s="29">
        <v>35500</v>
      </c>
      <c r="C72" s="29">
        <v>11481</v>
      </c>
      <c r="D72" s="35">
        <v>-0.6765915492957747</v>
      </c>
      <c r="E72" s="29"/>
      <c r="F72" s="29">
        <v>178000</v>
      </c>
      <c r="G72" s="29">
        <v>130431</v>
      </c>
      <c r="H72" s="35">
        <v>-0.26724157303370788</v>
      </c>
      <c r="I72" s="35">
        <v>0.92307692307692313</v>
      </c>
      <c r="J72" s="29">
        <v>160000</v>
      </c>
      <c r="K72" s="29">
        <v>113943</v>
      </c>
      <c r="L72" s="35">
        <v>-0.28785624999999998</v>
      </c>
      <c r="M72" s="35">
        <v>0.76923076923076927</v>
      </c>
      <c r="N72" s="29">
        <v>195500</v>
      </c>
      <c r="O72" s="29">
        <v>144653</v>
      </c>
      <c r="P72" s="35">
        <v>-0.26008695652173913</v>
      </c>
      <c r="Q72" s="35">
        <v>0.68421052631578949</v>
      </c>
      <c r="R72" s="29">
        <v>218000</v>
      </c>
      <c r="S72" s="29">
        <v>156667</v>
      </c>
      <c r="T72" s="35">
        <v>-0.28134403669724772</v>
      </c>
      <c r="U72" s="35">
        <v>0.61538461538461542</v>
      </c>
      <c r="V72" s="29">
        <v>213000</v>
      </c>
      <c r="W72" s="29">
        <v>154144</v>
      </c>
      <c r="X72" s="35">
        <v>-0.27631924882629105</v>
      </c>
      <c r="Y72" s="35">
        <v>0.5625</v>
      </c>
      <c r="Z72" s="29">
        <v>189000</v>
      </c>
      <c r="AA72" s="29">
        <v>135333</v>
      </c>
      <c r="AB72" s="35">
        <v>-0.28395238095238096</v>
      </c>
      <c r="AC72" s="35">
        <v>0.84615384615384615</v>
      </c>
      <c r="AD72" s="29">
        <v>134500</v>
      </c>
      <c r="AE72" s="29">
        <v>107570</v>
      </c>
      <c r="AF72" s="35">
        <v>-0.20022304832713755</v>
      </c>
      <c r="AG72" s="35">
        <v>0.81818181818181823</v>
      </c>
      <c r="AH72" s="29">
        <v>1323500</v>
      </c>
      <c r="AI72" s="29">
        <v>954222</v>
      </c>
      <c r="AJ72" s="35">
        <v>-0.27901624480544013</v>
      </c>
      <c r="AK72" s="35">
        <v>0.73469387755102045</v>
      </c>
    </row>
  </sheetData>
  <pageMargins left="0.75" right="0.75" top="1" bottom="1" header="0.511811023622047" footer="0.511811023622047"/>
  <pageSetup paperSize="9" orientation="portrait" horizontalDpi="300" verticalDpi="300"/>
  <drawing r:id="rId6"/>
  <extLst>
    <ext xmlns:x14="http://schemas.microsoft.com/office/spreadsheetml/2009/9/main" uri="{A8765BA9-456A-4dab-B4F3-ACF838C121DE}">
      <x14:slicerList>
        <x14:slicer r:id="rId7"/>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K3"/>
  <sheetViews>
    <sheetView showGridLines="0" tabSelected="1" zoomScale="63" zoomScaleNormal="100" workbookViewId="0">
      <selection activeCell="T16" sqref="T16"/>
    </sheetView>
  </sheetViews>
  <sheetFormatPr defaultColWidth="8.6640625" defaultRowHeight="14.4" x14ac:dyDescent="0.3"/>
  <cols>
    <col min="2" max="2" width="18.21875" customWidth="1"/>
    <col min="5" max="5" width="16.21875" customWidth="1"/>
    <col min="8" max="8" width="17" customWidth="1"/>
    <col min="11" max="11" width="28.5546875" customWidth="1"/>
  </cols>
  <sheetData>
    <row r="1" spans="2:11" ht="46.2" x14ac:dyDescent="0.85">
      <c r="E1" s="41" t="s">
        <v>1481</v>
      </c>
    </row>
    <row r="2" spans="2:11" ht="15.6" x14ac:dyDescent="0.3">
      <c r="B2" s="37" t="s">
        <v>1472</v>
      </c>
      <c r="E2" s="39" t="s">
        <v>1473</v>
      </c>
      <c r="H2" s="39" t="s">
        <v>1474</v>
      </c>
      <c r="K2" s="39" t="s">
        <v>1480</v>
      </c>
    </row>
    <row r="3" spans="2:11" ht="31.8" thickBot="1" x14ac:dyDescent="0.65">
      <c r="B3" s="38">
        <f>GETPIVOTDATA("[Measures].[Total Planned Cost]",PivotTables!$A$54)</f>
        <v>1323500</v>
      </c>
      <c r="E3" s="38">
        <f>GETPIVOTDATA("[Measures].[Total Actual Cost]",PivotTables!$A$54)</f>
        <v>954222</v>
      </c>
      <c r="H3" s="40">
        <f>GETPIVOTDATA("[Measures].[Cost Variance %]",PivotTables!$A$54)</f>
        <v>-0.27901624480544013</v>
      </c>
      <c r="K3" s="40">
        <f>GETPIVOTDATA("[Measures].[On-Time Completion Rate]",PivotTables!$A$54)</f>
        <v>0.73469387755102045</v>
      </c>
    </row>
  </sheetData>
  <pageMargins left="0.25" right="0.25" top="0.75" bottom="0.75" header="0.3" footer="0.3"/>
  <pageSetup paperSize="9" orientation="landscape" horizontalDpi="300" verticalDpi="300"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A3F42961-E5B0-4DDE-AA01-E30148E3C891}">
  <ds:schemaRefs/>
</ds:datastoreItem>
</file>

<file path=customXml/itemProps2.xml><?xml version="1.0" encoding="utf-8"?>
<ds:datastoreItem xmlns:ds="http://schemas.openxmlformats.org/officeDocument/2006/customXml" ds:itemID="{4BBDF76F-F7B9-4F61-B0E0-CD29B048ED0D}">
  <ds:schemaRefs/>
</ds:datastoreItem>
</file>

<file path=customXml/itemProps3.xml><?xml version="1.0" encoding="utf-8"?>
<ds:datastoreItem xmlns:ds="http://schemas.openxmlformats.org/officeDocument/2006/customXml" ds:itemID="{BC1A3266-6E5A-4BAA-BFBC-88C97A0765CC}">
  <ds:schemaRefs/>
</ds:datastoreItem>
</file>

<file path=customXml/itemProps4.xml><?xml version="1.0" encoding="utf-8"?>
<ds:datastoreItem xmlns:ds="http://schemas.openxmlformats.org/officeDocument/2006/customXml" ds:itemID="{F9887557-D6CF-4F81-875E-11B8853A06EF}">
  <ds:schemaRefs/>
</ds:datastoreItem>
</file>

<file path=customXml/itemProps5.xml><?xml version="1.0" encoding="utf-8"?>
<ds:datastoreItem xmlns:ds="http://schemas.openxmlformats.org/officeDocument/2006/customXml" ds:itemID="{28D15F9E-C80E-4E91-B369-EAA0EEA6A301}">
  <ds:schemaRefs/>
</ds:datastoreItem>
</file>

<file path=customXml/itemProps6.xml><?xml version="1.0" encoding="utf-8"?>
<ds:datastoreItem xmlns:ds="http://schemas.openxmlformats.org/officeDocument/2006/customXml" ds:itemID="{5EFB327F-1B67-463F-A9E3-41BEA48CE48F}">
  <ds:schemaRefs/>
</ds:datastoreItem>
</file>

<file path=customXml/itemProps7.xml><?xml version="1.0" encoding="utf-8"?>
<ds:datastoreItem xmlns:ds="http://schemas.openxmlformats.org/officeDocument/2006/customXml" ds:itemID="{C82FE573-7969-4C91-809A-F0D02B14850F}">
  <ds:schemaRefs/>
</ds:datastoreItem>
</file>

<file path=customXml/itemProps8.xml><?xml version="1.0" encoding="utf-8"?>
<ds:datastoreItem xmlns:ds="http://schemas.openxmlformats.org/officeDocument/2006/customXml" ds:itemID="{90FA1A4B-1D15-406C-AFAB-3FD7A778E399}">
  <ds:schemaRefs/>
</ds:datastoreItem>
</file>

<file path=customXml/itemProps9.xml><?xml version="1.0" encoding="utf-8"?>
<ds:datastoreItem xmlns:ds="http://schemas.openxmlformats.org/officeDocument/2006/customXml" ds:itemID="{830A6777-9C97-4A02-B4E0-E6918C555AB0}">
  <ds:schemaRefs/>
</ds:datastoreItem>
</file>

<file path=customXml/itemProps10.xml><?xml version="1.0" encoding="utf-8"?>
<ds:datastoreItem xmlns:ds="http://schemas.openxmlformats.org/officeDocument/2006/customXml" ds:itemID="{090D20C3-B613-4115-8A30-91CD1D3220A1}">
  <ds:schemaRefs/>
</ds:datastoreItem>
</file>

<file path=customXml/itemProps11.xml><?xml version="1.0" encoding="utf-8"?>
<ds:datastoreItem xmlns:ds="http://schemas.openxmlformats.org/officeDocument/2006/customXml" ds:itemID="{2E70C3B2-D8DF-4015-A24A-74E2D0B1CEA0}">
  <ds:schemaRefs>
    <ds:schemaRef ds:uri="http://schemas.microsoft.com/DataMashup"/>
  </ds:schemaRefs>
</ds:datastoreItem>
</file>

<file path=customXml/itemProps12.xml><?xml version="1.0" encoding="utf-8"?>
<ds:datastoreItem xmlns:ds="http://schemas.openxmlformats.org/officeDocument/2006/customXml" ds:itemID="{614656A5-EA87-4F3E-8B9F-D3C3C7C3417B}">
  <ds:schemaRefs/>
</ds:datastoreItem>
</file>

<file path=customXml/itemProps13.xml><?xml version="1.0" encoding="utf-8"?>
<ds:datastoreItem xmlns:ds="http://schemas.openxmlformats.org/officeDocument/2006/customXml" ds:itemID="{96895F6F-007A-46D2-B33A-BD1F6DA532A6}">
  <ds:schemaRefs/>
</ds:datastoreItem>
</file>

<file path=customXml/itemProps14.xml><?xml version="1.0" encoding="utf-8"?>
<ds:datastoreItem xmlns:ds="http://schemas.openxmlformats.org/officeDocument/2006/customXml" ds:itemID="{F993CF6E-AEEC-45DB-AE6C-5D5471E2D443}">
  <ds:schemaRefs/>
</ds:datastoreItem>
</file>

<file path=customXml/itemProps15.xml><?xml version="1.0" encoding="utf-8"?>
<ds:datastoreItem xmlns:ds="http://schemas.openxmlformats.org/officeDocument/2006/customXml" ds:itemID="{3B4E2F7E-2168-46E0-B6BB-253750C21709}">
  <ds:schemaRefs/>
</ds:datastoreItem>
</file>

<file path=customXml/itemProps16.xml><?xml version="1.0" encoding="utf-8"?>
<ds:datastoreItem xmlns:ds="http://schemas.openxmlformats.org/officeDocument/2006/customXml" ds:itemID="{3BEFF938-4357-4F76-8EB8-2FE2004581B3}">
  <ds:schemaRefs/>
</ds:datastoreItem>
</file>

<file path=customXml/itemProps17.xml><?xml version="1.0" encoding="utf-8"?>
<ds:datastoreItem xmlns:ds="http://schemas.openxmlformats.org/officeDocument/2006/customXml" ds:itemID="{CFCFD978-BE7B-4D76-B11B-DB8FF8BAF5BC}">
  <ds:schemaRefs/>
</ds:datastoreItem>
</file>

<file path=customXml/itemProps18.xml><?xml version="1.0" encoding="utf-8"?>
<ds:datastoreItem xmlns:ds="http://schemas.openxmlformats.org/officeDocument/2006/customXml" ds:itemID="{9478217D-02C0-49AB-822A-1F7DA1DFA1C2}">
  <ds:schemaRefs/>
</ds:datastoreItem>
</file>

<file path=customXml/itemProps19.xml><?xml version="1.0" encoding="utf-8"?>
<ds:datastoreItem xmlns:ds="http://schemas.openxmlformats.org/officeDocument/2006/customXml" ds:itemID="{4AC50E3E-23CE-447A-A308-31A8E7191D5A}">
  <ds:schemaRefs/>
</ds:datastoreItem>
</file>

<file path=customXml/itemProps20.xml><?xml version="1.0" encoding="utf-8"?>
<ds:datastoreItem xmlns:ds="http://schemas.openxmlformats.org/officeDocument/2006/customXml" ds:itemID="{E23552CC-E080-4AD6-878B-A38473803A7D}">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Instructions</vt:lpstr>
      <vt:lpstr>Summary </vt:lpstr>
      <vt:lpstr>tbl_Projects</vt:lpstr>
      <vt:lpstr>Projects</vt:lpstr>
      <vt:lpstr>tbl_Employees</vt:lpstr>
      <vt:lpstr>Employees</vt:lpstr>
      <vt:lpstr>tbl_Tasks_Clean.</vt:lpstr>
      <vt:lpstr>Tasks_RawData</vt:lpstr>
      <vt:lpstr>PQ_Output</vt:lpstr>
      <vt:lpstr>PivotTables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milisia makram</cp:lastModifiedBy>
  <cp:revision>0</cp:revision>
  <dcterms:created xsi:type="dcterms:W3CDTF">2026-07-16T17:04:20Z</dcterms:created>
  <dcterms:modified xsi:type="dcterms:W3CDTF">2026-07-19T01:57:51Z</dcterms:modified>
  <dc:language>en-US</dc:language>
</cp:coreProperties>
</file>